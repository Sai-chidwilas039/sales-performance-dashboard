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definedNames>
    <definedName function="false" hidden="true" localSheetId="1" name="_xlnm._FilterDatabase" vbProcedure="false">Data!$A$1:$N$1501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<sst xmlns="http://schemas.openxmlformats.org/spreadsheetml/2006/main" count="7590" uniqueCount="1563">
  <si>
    <t xml:space="preserve">Sales Performance Dashboard</t>
  </si>
  <si>
    <t xml:space="preserve">FY2025 | 1,500 synthetic orders generated for portfolio demonstration - not real company data. Revenue = Units x Unit Price x (1 - Discount); Profit = Revenue - Units x Unit Cost.</t>
  </si>
  <si>
    <t xml:space="preserve">Total revenue</t>
  </si>
  <si>
    <t xml:space="preserve">Total profit</t>
  </si>
  <si>
    <t xml:space="preserve">Profit margin</t>
  </si>
  <si>
    <t xml:space="preserve">Orders</t>
  </si>
  <si>
    <t xml:space="preserve">Top region</t>
  </si>
  <si>
    <t xml:space="preserve">Avg order value</t>
  </si>
  <si>
    <t xml:space="preserve">Units sold</t>
  </si>
  <si>
    <t xml:space="preserve">Top product</t>
  </si>
  <si>
    <t xml:space="preserve">Monthly performance</t>
  </si>
  <si>
    <t xml:space="preserve">By region</t>
  </si>
  <si>
    <t xml:space="preserve">Month</t>
  </si>
  <si>
    <t xml:space="preserve">Revenue</t>
  </si>
  <si>
    <t xml:space="preserve">Profit</t>
  </si>
  <si>
    <t xml:space="preserve">Margin</t>
  </si>
  <si>
    <t xml:space="preserve">Region</t>
  </si>
  <si>
    <t xml:space="preserve">Jan</t>
  </si>
  <si>
    <t xml:space="preserve">West</t>
  </si>
  <si>
    <t xml:space="preserve">Feb</t>
  </si>
  <si>
    <t xml:space="preserve">North</t>
  </si>
  <si>
    <t xml:space="preserve">Mar</t>
  </si>
  <si>
    <t xml:space="preserve">South</t>
  </si>
  <si>
    <t xml:space="preserve">Apr</t>
  </si>
  <si>
    <t xml:space="preserve">East</t>
  </si>
  <si>
    <t xml:space="preserve">May</t>
  </si>
  <si>
    <t xml:space="preserve">Total</t>
  </si>
  <si>
    <t xml:space="preserve">Jun</t>
  </si>
  <si>
    <t xml:space="preserve">Jul</t>
  </si>
  <si>
    <t xml:space="preserve">By category</t>
  </si>
  <si>
    <t xml:space="preserve">Aug</t>
  </si>
  <si>
    <t xml:space="preserve">Category</t>
  </si>
  <si>
    <t xml:space="preserve">Sep</t>
  </si>
  <si>
    <t xml:space="preserve">Electronics</t>
  </si>
  <si>
    <t xml:space="preserve">Oct</t>
  </si>
  <si>
    <t xml:space="preserve">Furniture</t>
  </si>
  <si>
    <t xml:space="preserve">Nov</t>
  </si>
  <si>
    <t xml:space="preserve">Office Supplies</t>
  </si>
  <si>
    <t xml:space="preserve">Dec</t>
  </si>
  <si>
    <t xml:space="preserve">By channel</t>
  </si>
  <si>
    <t xml:space="preserve">Channel</t>
  </si>
  <si>
    <t xml:space="preserve">Discount impact on margin</t>
  </si>
  <si>
    <t xml:space="preserve">Online</t>
  </si>
  <si>
    <t xml:space="preserve">Discount</t>
  </si>
  <si>
    <t xml:space="preserve">Retail</t>
  </si>
  <si>
    <t xml:space="preserve">Distributor</t>
  </si>
  <si>
    <t xml:space="preserve">By product</t>
  </si>
  <si>
    <t xml:space="preserve">Product</t>
  </si>
  <si>
    <t xml:space="preserve">Smartphone</t>
  </si>
  <si>
    <t xml:space="preserve">Printer Paper (carton)</t>
  </si>
  <si>
    <t xml:space="preserve">Laptop</t>
  </si>
  <si>
    <t xml:space="preserve">Headphones</t>
  </si>
  <si>
    <t xml:space="preserve">Notebook Pack</t>
  </si>
  <si>
    <t xml:space="preserve">Pen Set</t>
  </si>
  <si>
    <t xml:space="preserve">Standing Desk</t>
  </si>
  <si>
    <t xml:space="preserve">Office Chair</t>
  </si>
  <si>
    <t xml:space="preserve">Bookshelf</t>
  </si>
  <si>
    <t xml:space="preserve">Order ID</t>
  </si>
  <si>
    <t xml:space="preserve">Order Date</t>
  </si>
  <si>
    <t xml:space="preserve">Units</t>
  </si>
  <si>
    <t xml:space="preserve">Unit Price</t>
  </si>
  <si>
    <t xml:space="preserve">Unit Cost</t>
  </si>
  <si>
    <t xml:space="preserve">Cost</t>
  </si>
  <si>
    <t xml:space="preserve">ORD-0001</t>
  </si>
  <si>
    <t xml:space="preserve">ORD-0002</t>
  </si>
  <si>
    <t xml:space="preserve">ORD-0003</t>
  </si>
  <si>
    <t xml:space="preserve">ORD-0004</t>
  </si>
  <si>
    <t xml:space="preserve">ORD-0005</t>
  </si>
  <si>
    <t xml:space="preserve">ORD-0006</t>
  </si>
  <si>
    <t xml:space="preserve">ORD-0007</t>
  </si>
  <si>
    <t xml:space="preserve">ORD-0008</t>
  </si>
  <si>
    <t xml:space="preserve">ORD-0009</t>
  </si>
  <si>
    <t xml:space="preserve">ORD-0010</t>
  </si>
  <si>
    <t xml:space="preserve">ORD-0011</t>
  </si>
  <si>
    <t xml:space="preserve">ORD-0012</t>
  </si>
  <si>
    <t xml:space="preserve">ORD-0013</t>
  </si>
  <si>
    <t xml:space="preserve">ORD-0014</t>
  </si>
  <si>
    <t xml:space="preserve">ORD-0015</t>
  </si>
  <si>
    <t xml:space="preserve">ORD-0016</t>
  </si>
  <si>
    <t xml:space="preserve">ORD-0017</t>
  </si>
  <si>
    <t xml:space="preserve">ORD-0018</t>
  </si>
  <si>
    <t xml:space="preserve">ORD-0019</t>
  </si>
  <si>
    <t xml:space="preserve">ORD-0020</t>
  </si>
  <si>
    <t xml:space="preserve">ORD-0021</t>
  </si>
  <si>
    <t xml:space="preserve">ORD-0022</t>
  </si>
  <si>
    <t xml:space="preserve">ORD-0023</t>
  </si>
  <si>
    <t xml:space="preserve">ORD-0024</t>
  </si>
  <si>
    <t xml:space="preserve">ORD-0025</t>
  </si>
  <si>
    <t xml:space="preserve">ORD-0026</t>
  </si>
  <si>
    <t xml:space="preserve">ORD-0027</t>
  </si>
  <si>
    <t xml:space="preserve">ORD-0028</t>
  </si>
  <si>
    <t xml:space="preserve">ORD-0029</t>
  </si>
  <si>
    <t xml:space="preserve">ORD-0030</t>
  </si>
  <si>
    <t xml:space="preserve">ORD-0031</t>
  </si>
  <si>
    <t xml:space="preserve">ORD-0032</t>
  </si>
  <si>
    <t xml:space="preserve">ORD-0033</t>
  </si>
  <si>
    <t xml:space="preserve">ORD-0034</t>
  </si>
  <si>
    <t xml:space="preserve">ORD-0035</t>
  </si>
  <si>
    <t xml:space="preserve">ORD-0036</t>
  </si>
  <si>
    <t xml:space="preserve">ORD-0037</t>
  </si>
  <si>
    <t xml:space="preserve">ORD-0038</t>
  </si>
  <si>
    <t xml:space="preserve">ORD-0039</t>
  </si>
  <si>
    <t xml:space="preserve">ORD-0040</t>
  </si>
  <si>
    <t xml:space="preserve">ORD-0041</t>
  </si>
  <si>
    <t xml:space="preserve">ORD-0042</t>
  </si>
  <si>
    <t xml:space="preserve">ORD-0043</t>
  </si>
  <si>
    <t xml:space="preserve">ORD-0044</t>
  </si>
  <si>
    <t xml:space="preserve">ORD-0045</t>
  </si>
  <si>
    <t xml:space="preserve">ORD-0046</t>
  </si>
  <si>
    <t xml:space="preserve">ORD-0047</t>
  </si>
  <si>
    <t xml:space="preserve">ORD-0048</t>
  </si>
  <si>
    <t xml:space="preserve">ORD-0049</t>
  </si>
  <si>
    <t xml:space="preserve">ORD-0050</t>
  </si>
  <si>
    <t xml:space="preserve">ORD-0051</t>
  </si>
  <si>
    <t xml:space="preserve">ORD-0052</t>
  </si>
  <si>
    <t xml:space="preserve">ORD-0053</t>
  </si>
  <si>
    <t xml:space="preserve">ORD-0054</t>
  </si>
  <si>
    <t xml:space="preserve">ORD-0055</t>
  </si>
  <si>
    <t xml:space="preserve">ORD-0056</t>
  </si>
  <si>
    <t xml:space="preserve">ORD-0057</t>
  </si>
  <si>
    <t xml:space="preserve">ORD-0058</t>
  </si>
  <si>
    <t xml:space="preserve">ORD-0059</t>
  </si>
  <si>
    <t xml:space="preserve">ORD-0060</t>
  </si>
  <si>
    <t xml:space="preserve">ORD-0061</t>
  </si>
  <si>
    <t xml:space="preserve">ORD-0062</t>
  </si>
  <si>
    <t xml:space="preserve">ORD-0063</t>
  </si>
  <si>
    <t xml:space="preserve">ORD-0064</t>
  </si>
  <si>
    <t xml:space="preserve">ORD-0065</t>
  </si>
  <si>
    <t xml:space="preserve">ORD-0066</t>
  </si>
  <si>
    <t xml:space="preserve">ORD-0067</t>
  </si>
  <si>
    <t xml:space="preserve">ORD-0068</t>
  </si>
  <si>
    <t xml:space="preserve">ORD-0069</t>
  </si>
  <si>
    <t xml:space="preserve">ORD-0070</t>
  </si>
  <si>
    <t xml:space="preserve">ORD-0071</t>
  </si>
  <si>
    <t xml:space="preserve">ORD-0072</t>
  </si>
  <si>
    <t xml:space="preserve">ORD-0073</t>
  </si>
  <si>
    <t xml:space="preserve">ORD-0074</t>
  </si>
  <si>
    <t xml:space="preserve">ORD-0075</t>
  </si>
  <si>
    <t xml:space="preserve">ORD-0076</t>
  </si>
  <si>
    <t xml:space="preserve">ORD-0077</t>
  </si>
  <si>
    <t xml:space="preserve">ORD-0078</t>
  </si>
  <si>
    <t xml:space="preserve">ORD-0079</t>
  </si>
  <si>
    <t xml:space="preserve">ORD-0080</t>
  </si>
  <si>
    <t xml:space="preserve">ORD-0081</t>
  </si>
  <si>
    <t xml:space="preserve">ORD-0082</t>
  </si>
  <si>
    <t xml:space="preserve">ORD-0083</t>
  </si>
  <si>
    <t xml:space="preserve">ORD-0084</t>
  </si>
  <si>
    <t xml:space="preserve">ORD-0085</t>
  </si>
  <si>
    <t xml:space="preserve">ORD-0086</t>
  </si>
  <si>
    <t xml:space="preserve">ORD-0087</t>
  </si>
  <si>
    <t xml:space="preserve">ORD-0088</t>
  </si>
  <si>
    <t xml:space="preserve">ORD-0089</t>
  </si>
  <si>
    <t xml:space="preserve">ORD-0090</t>
  </si>
  <si>
    <t xml:space="preserve">ORD-0091</t>
  </si>
  <si>
    <t xml:space="preserve">ORD-0092</t>
  </si>
  <si>
    <t xml:space="preserve">ORD-0093</t>
  </si>
  <si>
    <t xml:space="preserve">ORD-0094</t>
  </si>
  <si>
    <t xml:space="preserve">ORD-0095</t>
  </si>
  <si>
    <t xml:space="preserve">ORD-0096</t>
  </si>
  <si>
    <t xml:space="preserve">ORD-0097</t>
  </si>
  <si>
    <t xml:space="preserve">ORD-0098</t>
  </si>
  <si>
    <t xml:space="preserve">ORD-0099</t>
  </si>
  <si>
    <t xml:space="preserve">ORD-0100</t>
  </si>
  <si>
    <t xml:space="preserve">ORD-0101</t>
  </si>
  <si>
    <t xml:space="preserve">ORD-0102</t>
  </si>
  <si>
    <t xml:space="preserve">ORD-0103</t>
  </si>
  <si>
    <t xml:space="preserve">ORD-0104</t>
  </si>
  <si>
    <t xml:space="preserve">ORD-0105</t>
  </si>
  <si>
    <t xml:space="preserve">ORD-0106</t>
  </si>
  <si>
    <t xml:space="preserve">ORD-0107</t>
  </si>
  <si>
    <t xml:space="preserve">ORD-0108</t>
  </si>
  <si>
    <t xml:space="preserve">ORD-0109</t>
  </si>
  <si>
    <t xml:space="preserve">ORD-0110</t>
  </si>
  <si>
    <t xml:space="preserve">ORD-0111</t>
  </si>
  <si>
    <t xml:space="preserve">ORD-0112</t>
  </si>
  <si>
    <t xml:space="preserve">ORD-0113</t>
  </si>
  <si>
    <t xml:space="preserve">ORD-0114</t>
  </si>
  <si>
    <t xml:space="preserve">ORD-0115</t>
  </si>
  <si>
    <t xml:space="preserve">ORD-0116</t>
  </si>
  <si>
    <t xml:space="preserve">ORD-0117</t>
  </si>
  <si>
    <t xml:space="preserve">ORD-0118</t>
  </si>
  <si>
    <t xml:space="preserve">ORD-0119</t>
  </si>
  <si>
    <t xml:space="preserve">ORD-0120</t>
  </si>
  <si>
    <t xml:space="preserve">ORD-0121</t>
  </si>
  <si>
    <t xml:space="preserve">ORD-0122</t>
  </si>
  <si>
    <t xml:space="preserve">ORD-0123</t>
  </si>
  <si>
    <t xml:space="preserve">ORD-0124</t>
  </si>
  <si>
    <t xml:space="preserve">ORD-0125</t>
  </si>
  <si>
    <t xml:space="preserve">ORD-0126</t>
  </si>
  <si>
    <t xml:space="preserve">ORD-0127</t>
  </si>
  <si>
    <t xml:space="preserve">ORD-0128</t>
  </si>
  <si>
    <t xml:space="preserve">ORD-0129</t>
  </si>
  <si>
    <t xml:space="preserve">ORD-0130</t>
  </si>
  <si>
    <t xml:space="preserve">ORD-0131</t>
  </si>
  <si>
    <t xml:space="preserve">ORD-0132</t>
  </si>
  <si>
    <t xml:space="preserve">ORD-0133</t>
  </si>
  <si>
    <t xml:space="preserve">ORD-0134</t>
  </si>
  <si>
    <t xml:space="preserve">ORD-0135</t>
  </si>
  <si>
    <t xml:space="preserve">ORD-0136</t>
  </si>
  <si>
    <t xml:space="preserve">ORD-0137</t>
  </si>
  <si>
    <t xml:space="preserve">ORD-0138</t>
  </si>
  <si>
    <t xml:space="preserve">ORD-0139</t>
  </si>
  <si>
    <t xml:space="preserve">ORD-0140</t>
  </si>
  <si>
    <t xml:space="preserve">ORD-0141</t>
  </si>
  <si>
    <t xml:space="preserve">ORD-0142</t>
  </si>
  <si>
    <t xml:space="preserve">ORD-0143</t>
  </si>
  <si>
    <t xml:space="preserve">ORD-0144</t>
  </si>
  <si>
    <t xml:space="preserve">ORD-0145</t>
  </si>
  <si>
    <t xml:space="preserve">ORD-0146</t>
  </si>
  <si>
    <t xml:space="preserve">ORD-0147</t>
  </si>
  <si>
    <t xml:space="preserve">ORD-0148</t>
  </si>
  <si>
    <t xml:space="preserve">ORD-0149</t>
  </si>
  <si>
    <t xml:space="preserve">ORD-0150</t>
  </si>
  <si>
    <t xml:space="preserve">ORD-0151</t>
  </si>
  <si>
    <t xml:space="preserve">ORD-0152</t>
  </si>
  <si>
    <t xml:space="preserve">ORD-0153</t>
  </si>
  <si>
    <t xml:space="preserve">ORD-0154</t>
  </si>
  <si>
    <t xml:space="preserve">ORD-0155</t>
  </si>
  <si>
    <t xml:space="preserve">ORD-0156</t>
  </si>
  <si>
    <t xml:space="preserve">ORD-0157</t>
  </si>
  <si>
    <t xml:space="preserve">ORD-0158</t>
  </si>
  <si>
    <t xml:space="preserve">ORD-0159</t>
  </si>
  <si>
    <t xml:space="preserve">ORD-0160</t>
  </si>
  <si>
    <t xml:space="preserve">ORD-0161</t>
  </si>
  <si>
    <t xml:space="preserve">ORD-0162</t>
  </si>
  <si>
    <t xml:space="preserve">ORD-0163</t>
  </si>
  <si>
    <t xml:space="preserve">ORD-0164</t>
  </si>
  <si>
    <t xml:space="preserve">ORD-0165</t>
  </si>
  <si>
    <t xml:space="preserve">ORD-0166</t>
  </si>
  <si>
    <t xml:space="preserve">ORD-0167</t>
  </si>
  <si>
    <t xml:space="preserve">ORD-0168</t>
  </si>
  <si>
    <t xml:space="preserve">ORD-0169</t>
  </si>
  <si>
    <t xml:space="preserve">ORD-0170</t>
  </si>
  <si>
    <t xml:space="preserve">ORD-0171</t>
  </si>
  <si>
    <t xml:space="preserve">ORD-0172</t>
  </si>
  <si>
    <t xml:space="preserve">ORD-0173</t>
  </si>
  <si>
    <t xml:space="preserve">ORD-0174</t>
  </si>
  <si>
    <t xml:space="preserve">ORD-0175</t>
  </si>
  <si>
    <t xml:space="preserve">ORD-0176</t>
  </si>
  <si>
    <t xml:space="preserve">ORD-0177</t>
  </si>
  <si>
    <t xml:space="preserve">ORD-0178</t>
  </si>
  <si>
    <t xml:space="preserve">ORD-0179</t>
  </si>
  <si>
    <t xml:space="preserve">ORD-0180</t>
  </si>
  <si>
    <t xml:space="preserve">ORD-0181</t>
  </si>
  <si>
    <t xml:space="preserve">ORD-0182</t>
  </si>
  <si>
    <t xml:space="preserve">ORD-0183</t>
  </si>
  <si>
    <t xml:space="preserve">ORD-0184</t>
  </si>
  <si>
    <t xml:space="preserve">ORD-0185</t>
  </si>
  <si>
    <t xml:space="preserve">ORD-0186</t>
  </si>
  <si>
    <t xml:space="preserve">ORD-0187</t>
  </si>
  <si>
    <t xml:space="preserve">ORD-0188</t>
  </si>
  <si>
    <t xml:space="preserve">ORD-0189</t>
  </si>
  <si>
    <t xml:space="preserve">ORD-0190</t>
  </si>
  <si>
    <t xml:space="preserve">ORD-0191</t>
  </si>
  <si>
    <t xml:space="preserve">ORD-0192</t>
  </si>
  <si>
    <t xml:space="preserve">ORD-0193</t>
  </si>
  <si>
    <t xml:space="preserve">ORD-0194</t>
  </si>
  <si>
    <t xml:space="preserve">ORD-0195</t>
  </si>
  <si>
    <t xml:space="preserve">ORD-0196</t>
  </si>
  <si>
    <t xml:space="preserve">ORD-0197</t>
  </si>
  <si>
    <t xml:space="preserve">ORD-0198</t>
  </si>
  <si>
    <t xml:space="preserve">ORD-0199</t>
  </si>
  <si>
    <t xml:space="preserve">ORD-0200</t>
  </si>
  <si>
    <t xml:space="preserve">ORD-0201</t>
  </si>
  <si>
    <t xml:space="preserve">ORD-0202</t>
  </si>
  <si>
    <t xml:space="preserve">ORD-0203</t>
  </si>
  <si>
    <t xml:space="preserve">ORD-0204</t>
  </si>
  <si>
    <t xml:space="preserve">ORD-0205</t>
  </si>
  <si>
    <t xml:space="preserve">ORD-0206</t>
  </si>
  <si>
    <t xml:space="preserve">ORD-0207</t>
  </si>
  <si>
    <t xml:space="preserve">ORD-0208</t>
  </si>
  <si>
    <t xml:space="preserve">ORD-0209</t>
  </si>
  <si>
    <t xml:space="preserve">ORD-0210</t>
  </si>
  <si>
    <t xml:space="preserve">ORD-0211</t>
  </si>
  <si>
    <t xml:space="preserve">ORD-0212</t>
  </si>
  <si>
    <t xml:space="preserve">ORD-0213</t>
  </si>
  <si>
    <t xml:space="preserve">ORD-0214</t>
  </si>
  <si>
    <t xml:space="preserve">ORD-0215</t>
  </si>
  <si>
    <t xml:space="preserve">ORD-0216</t>
  </si>
  <si>
    <t xml:space="preserve">ORD-0217</t>
  </si>
  <si>
    <t xml:space="preserve">ORD-0218</t>
  </si>
  <si>
    <t xml:space="preserve">ORD-0219</t>
  </si>
  <si>
    <t xml:space="preserve">ORD-0220</t>
  </si>
  <si>
    <t xml:space="preserve">ORD-0221</t>
  </si>
  <si>
    <t xml:space="preserve">ORD-0222</t>
  </si>
  <si>
    <t xml:space="preserve">ORD-0223</t>
  </si>
  <si>
    <t xml:space="preserve">ORD-0224</t>
  </si>
  <si>
    <t xml:space="preserve">ORD-0225</t>
  </si>
  <si>
    <t xml:space="preserve">ORD-0226</t>
  </si>
  <si>
    <t xml:space="preserve">ORD-0227</t>
  </si>
  <si>
    <t xml:space="preserve">ORD-0228</t>
  </si>
  <si>
    <t xml:space="preserve">ORD-0229</t>
  </si>
  <si>
    <t xml:space="preserve">ORD-0230</t>
  </si>
  <si>
    <t xml:space="preserve">ORD-0231</t>
  </si>
  <si>
    <t xml:space="preserve">ORD-0232</t>
  </si>
  <si>
    <t xml:space="preserve">ORD-0233</t>
  </si>
  <si>
    <t xml:space="preserve">ORD-0234</t>
  </si>
  <si>
    <t xml:space="preserve">ORD-0235</t>
  </si>
  <si>
    <t xml:space="preserve">ORD-0236</t>
  </si>
  <si>
    <t xml:space="preserve">ORD-0237</t>
  </si>
  <si>
    <t xml:space="preserve">ORD-0238</t>
  </si>
  <si>
    <t xml:space="preserve">ORD-0239</t>
  </si>
  <si>
    <t xml:space="preserve">ORD-0240</t>
  </si>
  <si>
    <t xml:space="preserve">ORD-0241</t>
  </si>
  <si>
    <t xml:space="preserve">ORD-0242</t>
  </si>
  <si>
    <t xml:space="preserve">ORD-0243</t>
  </si>
  <si>
    <t xml:space="preserve">ORD-0244</t>
  </si>
  <si>
    <t xml:space="preserve">ORD-0245</t>
  </si>
  <si>
    <t xml:space="preserve">ORD-0246</t>
  </si>
  <si>
    <t xml:space="preserve">ORD-0247</t>
  </si>
  <si>
    <t xml:space="preserve">ORD-0248</t>
  </si>
  <si>
    <t xml:space="preserve">ORD-0249</t>
  </si>
  <si>
    <t xml:space="preserve">ORD-0250</t>
  </si>
  <si>
    <t xml:space="preserve">ORD-0251</t>
  </si>
  <si>
    <t xml:space="preserve">ORD-0252</t>
  </si>
  <si>
    <t xml:space="preserve">ORD-0253</t>
  </si>
  <si>
    <t xml:space="preserve">ORD-0254</t>
  </si>
  <si>
    <t xml:space="preserve">ORD-0255</t>
  </si>
  <si>
    <t xml:space="preserve">ORD-0256</t>
  </si>
  <si>
    <t xml:space="preserve">ORD-0257</t>
  </si>
  <si>
    <t xml:space="preserve">ORD-0258</t>
  </si>
  <si>
    <t xml:space="preserve">ORD-0259</t>
  </si>
  <si>
    <t xml:space="preserve">ORD-0260</t>
  </si>
  <si>
    <t xml:space="preserve">ORD-0261</t>
  </si>
  <si>
    <t xml:space="preserve">ORD-0262</t>
  </si>
  <si>
    <t xml:space="preserve">ORD-0263</t>
  </si>
  <si>
    <t xml:space="preserve">ORD-0264</t>
  </si>
  <si>
    <t xml:space="preserve">ORD-0265</t>
  </si>
  <si>
    <t xml:space="preserve">ORD-0266</t>
  </si>
  <si>
    <t xml:space="preserve">ORD-0267</t>
  </si>
  <si>
    <t xml:space="preserve">ORD-0268</t>
  </si>
  <si>
    <t xml:space="preserve">ORD-0269</t>
  </si>
  <si>
    <t xml:space="preserve">ORD-0270</t>
  </si>
  <si>
    <t xml:space="preserve">ORD-0271</t>
  </si>
  <si>
    <t xml:space="preserve">ORD-0272</t>
  </si>
  <si>
    <t xml:space="preserve">ORD-0273</t>
  </si>
  <si>
    <t xml:space="preserve">ORD-0274</t>
  </si>
  <si>
    <t xml:space="preserve">ORD-0275</t>
  </si>
  <si>
    <t xml:space="preserve">ORD-0276</t>
  </si>
  <si>
    <t xml:space="preserve">ORD-0277</t>
  </si>
  <si>
    <t xml:space="preserve">ORD-0278</t>
  </si>
  <si>
    <t xml:space="preserve">ORD-0279</t>
  </si>
  <si>
    <t xml:space="preserve">ORD-0280</t>
  </si>
  <si>
    <t xml:space="preserve">ORD-0281</t>
  </si>
  <si>
    <t xml:space="preserve">ORD-0282</t>
  </si>
  <si>
    <t xml:space="preserve">ORD-0283</t>
  </si>
  <si>
    <t xml:space="preserve">ORD-0284</t>
  </si>
  <si>
    <t xml:space="preserve">ORD-0285</t>
  </si>
  <si>
    <t xml:space="preserve">ORD-0286</t>
  </si>
  <si>
    <t xml:space="preserve">ORD-0287</t>
  </si>
  <si>
    <t xml:space="preserve">ORD-0288</t>
  </si>
  <si>
    <t xml:space="preserve">ORD-0289</t>
  </si>
  <si>
    <t xml:space="preserve">ORD-0290</t>
  </si>
  <si>
    <t xml:space="preserve">ORD-0291</t>
  </si>
  <si>
    <t xml:space="preserve">ORD-0292</t>
  </si>
  <si>
    <t xml:space="preserve">ORD-0293</t>
  </si>
  <si>
    <t xml:space="preserve">ORD-0294</t>
  </si>
  <si>
    <t xml:space="preserve">ORD-0295</t>
  </si>
  <si>
    <t xml:space="preserve">ORD-0296</t>
  </si>
  <si>
    <t xml:space="preserve">ORD-0297</t>
  </si>
  <si>
    <t xml:space="preserve">ORD-0298</t>
  </si>
  <si>
    <t xml:space="preserve">ORD-0299</t>
  </si>
  <si>
    <t xml:space="preserve">ORD-0300</t>
  </si>
  <si>
    <t xml:space="preserve">ORD-0301</t>
  </si>
  <si>
    <t xml:space="preserve">ORD-0302</t>
  </si>
  <si>
    <t xml:space="preserve">ORD-0303</t>
  </si>
  <si>
    <t xml:space="preserve">ORD-0304</t>
  </si>
  <si>
    <t xml:space="preserve">ORD-0305</t>
  </si>
  <si>
    <t xml:space="preserve">ORD-0306</t>
  </si>
  <si>
    <t xml:space="preserve">ORD-0307</t>
  </si>
  <si>
    <t xml:space="preserve">ORD-0308</t>
  </si>
  <si>
    <t xml:space="preserve">ORD-0309</t>
  </si>
  <si>
    <t xml:space="preserve">ORD-0310</t>
  </si>
  <si>
    <t xml:space="preserve">ORD-0311</t>
  </si>
  <si>
    <t xml:space="preserve">ORD-0312</t>
  </si>
  <si>
    <t xml:space="preserve">ORD-0313</t>
  </si>
  <si>
    <t xml:space="preserve">ORD-0314</t>
  </si>
  <si>
    <t xml:space="preserve">ORD-0315</t>
  </si>
  <si>
    <t xml:space="preserve">ORD-0316</t>
  </si>
  <si>
    <t xml:space="preserve">ORD-0317</t>
  </si>
  <si>
    <t xml:space="preserve">ORD-0318</t>
  </si>
  <si>
    <t xml:space="preserve">ORD-0319</t>
  </si>
  <si>
    <t xml:space="preserve">ORD-0320</t>
  </si>
  <si>
    <t xml:space="preserve">ORD-0321</t>
  </si>
  <si>
    <t xml:space="preserve">ORD-0322</t>
  </si>
  <si>
    <t xml:space="preserve">ORD-0323</t>
  </si>
  <si>
    <t xml:space="preserve">ORD-0324</t>
  </si>
  <si>
    <t xml:space="preserve">ORD-0325</t>
  </si>
  <si>
    <t xml:space="preserve">ORD-0326</t>
  </si>
  <si>
    <t xml:space="preserve">ORD-0327</t>
  </si>
  <si>
    <t xml:space="preserve">ORD-0328</t>
  </si>
  <si>
    <t xml:space="preserve">ORD-0329</t>
  </si>
  <si>
    <t xml:space="preserve">ORD-0330</t>
  </si>
  <si>
    <t xml:space="preserve">ORD-0331</t>
  </si>
  <si>
    <t xml:space="preserve">ORD-0332</t>
  </si>
  <si>
    <t xml:space="preserve">ORD-0333</t>
  </si>
  <si>
    <t xml:space="preserve">ORD-0334</t>
  </si>
  <si>
    <t xml:space="preserve">ORD-0335</t>
  </si>
  <si>
    <t xml:space="preserve">ORD-0336</t>
  </si>
  <si>
    <t xml:space="preserve">ORD-0337</t>
  </si>
  <si>
    <t xml:space="preserve">ORD-0338</t>
  </si>
  <si>
    <t xml:space="preserve">ORD-0339</t>
  </si>
  <si>
    <t xml:space="preserve">ORD-0340</t>
  </si>
  <si>
    <t xml:space="preserve">ORD-0341</t>
  </si>
  <si>
    <t xml:space="preserve">ORD-0342</t>
  </si>
  <si>
    <t xml:space="preserve">ORD-0343</t>
  </si>
  <si>
    <t xml:space="preserve">ORD-0344</t>
  </si>
  <si>
    <t xml:space="preserve">ORD-0345</t>
  </si>
  <si>
    <t xml:space="preserve">ORD-0346</t>
  </si>
  <si>
    <t xml:space="preserve">ORD-0347</t>
  </si>
  <si>
    <t xml:space="preserve">ORD-0348</t>
  </si>
  <si>
    <t xml:space="preserve">ORD-0349</t>
  </si>
  <si>
    <t xml:space="preserve">ORD-0350</t>
  </si>
  <si>
    <t xml:space="preserve">ORD-0351</t>
  </si>
  <si>
    <t xml:space="preserve">ORD-0352</t>
  </si>
  <si>
    <t xml:space="preserve">ORD-0353</t>
  </si>
  <si>
    <t xml:space="preserve">ORD-0354</t>
  </si>
  <si>
    <t xml:space="preserve">ORD-0355</t>
  </si>
  <si>
    <t xml:space="preserve">ORD-0356</t>
  </si>
  <si>
    <t xml:space="preserve">ORD-0357</t>
  </si>
  <si>
    <t xml:space="preserve">ORD-0358</t>
  </si>
  <si>
    <t xml:space="preserve">ORD-0359</t>
  </si>
  <si>
    <t xml:space="preserve">ORD-0360</t>
  </si>
  <si>
    <t xml:space="preserve">ORD-0361</t>
  </si>
  <si>
    <t xml:space="preserve">ORD-0362</t>
  </si>
  <si>
    <t xml:space="preserve">ORD-0363</t>
  </si>
  <si>
    <t xml:space="preserve">ORD-0364</t>
  </si>
  <si>
    <t xml:space="preserve">ORD-0365</t>
  </si>
  <si>
    <t xml:space="preserve">ORD-0366</t>
  </si>
  <si>
    <t xml:space="preserve">ORD-0367</t>
  </si>
  <si>
    <t xml:space="preserve">ORD-0368</t>
  </si>
  <si>
    <t xml:space="preserve">ORD-0369</t>
  </si>
  <si>
    <t xml:space="preserve">ORD-0370</t>
  </si>
  <si>
    <t xml:space="preserve">ORD-0371</t>
  </si>
  <si>
    <t xml:space="preserve">ORD-0372</t>
  </si>
  <si>
    <t xml:space="preserve">ORD-0373</t>
  </si>
  <si>
    <t xml:space="preserve">ORD-0374</t>
  </si>
  <si>
    <t xml:space="preserve">ORD-0375</t>
  </si>
  <si>
    <t xml:space="preserve">ORD-0376</t>
  </si>
  <si>
    <t xml:space="preserve">ORD-0377</t>
  </si>
  <si>
    <t xml:space="preserve">ORD-0378</t>
  </si>
  <si>
    <t xml:space="preserve">ORD-0379</t>
  </si>
  <si>
    <t xml:space="preserve">ORD-0380</t>
  </si>
  <si>
    <t xml:space="preserve">ORD-0381</t>
  </si>
  <si>
    <t xml:space="preserve">ORD-0382</t>
  </si>
  <si>
    <t xml:space="preserve">ORD-0383</t>
  </si>
  <si>
    <t xml:space="preserve">ORD-0384</t>
  </si>
  <si>
    <t xml:space="preserve">ORD-0385</t>
  </si>
  <si>
    <t xml:space="preserve">ORD-0386</t>
  </si>
  <si>
    <t xml:space="preserve">ORD-0387</t>
  </si>
  <si>
    <t xml:space="preserve">ORD-0388</t>
  </si>
  <si>
    <t xml:space="preserve">ORD-0389</t>
  </si>
  <si>
    <t xml:space="preserve">ORD-0390</t>
  </si>
  <si>
    <t xml:space="preserve">ORD-0391</t>
  </si>
  <si>
    <t xml:space="preserve">ORD-0392</t>
  </si>
  <si>
    <t xml:space="preserve">ORD-0393</t>
  </si>
  <si>
    <t xml:space="preserve">ORD-0394</t>
  </si>
  <si>
    <t xml:space="preserve">ORD-0395</t>
  </si>
  <si>
    <t xml:space="preserve">ORD-0396</t>
  </si>
  <si>
    <t xml:space="preserve">ORD-0397</t>
  </si>
  <si>
    <t xml:space="preserve">ORD-0398</t>
  </si>
  <si>
    <t xml:space="preserve">ORD-0399</t>
  </si>
  <si>
    <t xml:space="preserve">ORD-0400</t>
  </si>
  <si>
    <t xml:space="preserve">ORD-0401</t>
  </si>
  <si>
    <t xml:space="preserve">ORD-0402</t>
  </si>
  <si>
    <t xml:space="preserve">ORD-0403</t>
  </si>
  <si>
    <t xml:space="preserve">ORD-0404</t>
  </si>
  <si>
    <t xml:space="preserve">ORD-0405</t>
  </si>
  <si>
    <t xml:space="preserve">ORD-0406</t>
  </si>
  <si>
    <t xml:space="preserve">ORD-0407</t>
  </si>
  <si>
    <t xml:space="preserve">ORD-0408</t>
  </si>
  <si>
    <t xml:space="preserve">ORD-0409</t>
  </si>
  <si>
    <t xml:space="preserve">ORD-0410</t>
  </si>
  <si>
    <t xml:space="preserve">ORD-0411</t>
  </si>
  <si>
    <t xml:space="preserve">ORD-0412</t>
  </si>
  <si>
    <t xml:space="preserve">ORD-0413</t>
  </si>
  <si>
    <t xml:space="preserve">ORD-0414</t>
  </si>
  <si>
    <t xml:space="preserve">ORD-0415</t>
  </si>
  <si>
    <t xml:space="preserve">ORD-0416</t>
  </si>
  <si>
    <t xml:space="preserve">ORD-0417</t>
  </si>
  <si>
    <t xml:space="preserve">ORD-0418</t>
  </si>
  <si>
    <t xml:space="preserve">ORD-0419</t>
  </si>
  <si>
    <t xml:space="preserve">ORD-0420</t>
  </si>
  <si>
    <t xml:space="preserve">ORD-0421</t>
  </si>
  <si>
    <t xml:space="preserve">ORD-0422</t>
  </si>
  <si>
    <t xml:space="preserve">ORD-0423</t>
  </si>
  <si>
    <t xml:space="preserve">ORD-0424</t>
  </si>
  <si>
    <t xml:space="preserve">ORD-0425</t>
  </si>
  <si>
    <t xml:space="preserve">ORD-0426</t>
  </si>
  <si>
    <t xml:space="preserve">ORD-0427</t>
  </si>
  <si>
    <t xml:space="preserve">ORD-0428</t>
  </si>
  <si>
    <t xml:space="preserve">ORD-0429</t>
  </si>
  <si>
    <t xml:space="preserve">ORD-0430</t>
  </si>
  <si>
    <t xml:space="preserve">ORD-0431</t>
  </si>
  <si>
    <t xml:space="preserve">ORD-0432</t>
  </si>
  <si>
    <t xml:space="preserve">ORD-0433</t>
  </si>
  <si>
    <t xml:space="preserve">ORD-0434</t>
  </si>
  <si>
    <t xml:space="preserve">ORD-0435</t>
  </si>
  <si>
    <t xml:space="preserve">ORD-0436</t>
  </si>
  <si>
    <t xml:space="preserve">ORD-0437</t>
  </si>
  <si>
    <t xml:space="preserve">ORD-0438</t>
  </si>
  <si>
    <t xml:space="preserve">ORD-0439</t>
  </si>
  <si>
    <t xml:space="preserve">ORD-0440</t>
  </si>
  <si>
    <t xml:space="preserve">ORD-0441</t>
  </si>
  <si>
    <t xml:space="preserve">ORD-0442</t>
  </si>
  <si>
    <t xml:space="preserve">ORD-0443</t>
  </si>
  <si>
    <t xml:space="preserve">ORD-0444</t>
  </si>
  <si>
    <t xml:space="preserve">ORD-0445</t>
  </si>
  <si>
    <t xml:space="preserve">ORD-0446</t>
  </si>
  <si>
    <t xml:space="preserve">ORD-0447</t>
  </si>
  <si>
    <t xml:space="preserve">ORD-0448</t>
  </si>
  <si>
    <t xml:space="preserve">ORD-0449</t>
  </si>
  <si>
    <t xml:space="preserve">ORD-0450</t>
  </si>
  <si>
    <t xml:space="preserve">ORD-0451</t>
  </si>
  <si>
    <t xml:space="preserve">ORD-0452</t>
  </si>
  <si>
    <t xml:space="preserve">ORD-0453</t>
  </si>
  <si>
    <t xml:space="preserve">ORD-0454</t>
  </si>
  <si>
    <t xml:space="preserve">ORD-0455</t>
  </si>
  <si>
    <t xml:space="preserve">ORD-0456</t>
  </si>
  <si>
    <t xml:space="preserve">ORD-0457</t>
  </si>
  <si>
    <t xml:space="preserve">ORD-0458</t>
  </si>
  <si>
    <t xml:space="preserve">ORD-0459</t>
  </si>
  <si>
    <t xml:space="preserve">ORD-0460</t>
  </si>
  <si>
    <t xml:space="preserve">ORD-0461</t>
  </si>
  <si>
    <t xml:space="preserve">ORD-0462</t>
  </si>
  <si>
    <t xml:space="preserve">ORD-0463</t>
  </si>
  <si>
    <t xml:space="preserve">ORD-0464</t>
  </si>
  <si>
    <t xml:space="preserve">ORD-0465</t>
  </si>
  <si>
    <t xml:space="preserve">ORD-0466</t>
  </si>
  <si>
    <t xml:space="preserve">ORD-0467</t>
  </si>
  <si>
    <t xml:space="preserve">ORD-0468</t>
  </si>
  <si>
    <t xml:space="preserve">ORD-0469</t>
  </si>
  <si>
    <t xml:space="preserve">ORD-0470</t>
  </si>
  <si>
    <t xml:space="preserve">ORD-0471</t>
  </si>
  <si>
    <t xml:space="preserve">ORD-0472</t>
  </si>
  <si>
    <t xml:space="preserve">ORD-0473</t>
  </si>
  <si>
    <t xml:space="preserve">ORD-0474</t>
  </si>
  <si>
    <t xml:space="preserve">ORD-0475</t>
  </si>
  <si>
    <t xml:space="preserve">ORD-0476</t>
  </si>
  <si>
    <t xml:space="preserve">ORD-0477</t>
  </si>
  <si>
    <t xml:space="preserve">ORD-0478</t>
  </si>
  <si>
    <t xml:space="preserve">ORD-0479</t>
  </si>
  <si>
    <t xml:space="preserve">ORD-0480</t>
  </si>
  <si>
    <t xml:space="preserve">ORD-0481</t>
  </si>
  <si>
    <t xml:space="preserve">ORD-0482</t>
  </si>
  <si>
    <t xml:space="preserve">ORD-0483</t>
  </si>
  <si>
    <t xml:space="preserve">ORD-0484</t>
  </si>
  <si>
    <t xml:space="preserve">ORD-0485</t>
  </si>
  <si>
    <t xml:space="preserve">ORD-0486</t>
  </si>
  <si>
    <t xml:space="preserve">ORD-0487</t>
  </si>
  <si>
    <t xml:space="preserve">ORD-0488</t>
  </si>
  <si>
    <t xml:space="preserve">ORD-0489</t>
  </si>
  <si>
    <t xml:space="preserve">ORD-0490</t>
  </si>
  <si>
    <t xml:space="preserve">ORD-0491</t>
  </si>
  <si>
    <t xml:space="preserve">ORD-0492</t>
  </si>
  <si>
    <t xml:space="preserve">ORD-0493</t>
  </si>
  <si>
    <t xml:space="preserve">ORD-0494</t>
  </si>
  <si>
    <t xml:space="preserve">ORD-0495</t>
  </si>
  <si>
    <t xml:space="preserve">ORD-0496</t>
  </si>
  <si>
    <t xml:space="preserve">ORD-0497</t>
  </si>
  <si>
    <t xml:space="preserve">ORD-0498</t>
  </si>
  <si>
    <t xml:space="preserve">ORD-0499</t>
  </si>
  <si>
    <t xml:space="preserve">ORD-0500</t>
  </si>
  <si>
    <t xml:space="preserve">ORD-0501</t>
  </si>
  <si>
    <t xml:space="preserve">ORD-0502</t>
  </si>
  <si>
    <t xml:space="preserve">ORD-0503</t>
  </si>
  <si>
    <t xml:space="preserve">ORD-0504</t>
  </si>
  <si>
    <t xml:space="preserve">ORD-0505</t>
  </si>
  <si>
    <t xml:space="preserve">ORD-0506</t>
  </si>
  <si>
    <t xml:space="preserve">ORD-0507</t>
  </si>
  <si>
    <t xml:space="preserve">ORD-0508</t>
  </si>
  <si>
    <t xml:space="preserve">ORD-0509</t>
  </si>
  <si>
    <t xml:space="preserve">ORD-0510</t>
  </si>
  <si>
    <t xml:space="preserve">ORD-0511</t>
  </si>
  <si>
    <t xml:space="preserve">ORD-0512</t>
  </si>
  <si>
    <t xml:space="preserve">ORD-0513</t>
  </si>
  <si>
    <t xml:space="preserve">ORD-0514</t>
  </si>
  <si>
    <t xml:space="preserve">ORD-0515</t>
  </si>
  <si>
    <t xml:space="preserve">ORD-0516</t>
  </si>
  <si>
    <t xml:space="preserve">ORD-0517</t>
  </si>
  <si>
    <t xml:space="preserve">ORD-0518</t>
  </si>
  <si>
    <t xml:space="preserve">ORD-0519</t>
  </si>
  <si>
    <t xml:space="preserve">ORD-0520</t>
  </si>
  <si>
    <t xml:space="preserve">ORD-0521</t>
  </si>
  <si>
    <t xml:space="preserve">ORD-0522</t>
  </si>
  <si>
    <t xml:space="preserve">ORD-0523</t>
  </si>
  <si>
    <t xml:space="preserve">ORD-0524</t>
  </si>
  <si>
    <t xml:space="preserve">ORD-0525</t>
  </si>
  <si>
    <t xml:space="preserve">ORD-0526</t>
  </si>
  <si>
    <t xml:space="preserve">ORD-0527</t>
  </si>
  <si>
    <t xml:space="preserve">ORD-0528</t>
  </si>
  <si>
    <t xml:space="preserve">ORD-0529</t>
  </si>
  <si>
    <t xml:space="preserve">ORD-0530</t>
  </si>
  <si>
    <t xml:space="preserve">ORD-0531</t>
  </si>
  <si>
    <t xml:space="preserve">ORD-0532</t>
  </si>
  <si>
    <t xml:space="preserve">ORD-0533</t>
  </si>
  <si>
    <t xml:space="preserve">ORD-0534</t>
  </si>
  <si>
    <t xml:space="preserve">ORD-0535</t>
  </si>
  <si>
    <t xml:space="preserve">ORD-0536</t>
  </si>
  <si>
    <t xml:space="preserve">ORD-0537</t>
  </si>
  <si>
    <t xml:space="preserve">ORD-0538</t>
  </si>
  <si>
    <t xml:space="preserve">ORD-0539</t>
  </si>
  <si>
    <t xml:space="preserve">ORD-0540</t>
  </si>
  <si>
    <t xml:space="preserve">ORD-0541</t>
  </si>
  <si>
    <t xml:space="preserve">ORD-0542</t>
  </si>
  <si>
    <t xml:space="preserve">ORD-0543</t>
  </si>
  <si>
    <t xml:space="preserve">ORD-0544</t>
  </si>
  <si>
    <t xml:space="preserve">ORD-0545</t>
  </si>
  <si>
    <t xml:space="preserve">ORD-0546</t>
  </si>
  <si>
    <t xml:space="preserve">ORD-0547</t>
  </si>
  <si>
    <t xml:space="preserve">ORD-0548</t>
  </si>
  <si>
    <t xml:space="preserve">ORD-0549</t>
  </si>
  <si>
    <t xml:space="preserve">ORD-0550</t>
  </si>
  <si>
    <t xml:space="preserve">ORD-0551</t>
  </si>
  <si>
    <t xml:space="preserve">ORD-0552</t>
  </si>
  <si>
    <t xml:space="preserve">ORD-0553</t>
  </si>
  <si>
    <t xml:space="preserve">ORD-0554</t>
  </si>
  <si>
    <t xml:space="preserve">ORD-0555</t>
  </si>
  <si>
    <t xml:space="preserve">ORD-0556</t>
  </si>
  <si>
    <t xml:space="preserve">ORD-0557</t>
  </si>
  <si>
    <t xml:space="preserve">ORD-0558</t>
  </si>
  <si>
    <t xml:space="preserve">ORD-0559</t>
  </si>
  <si>
    <t xml:space="preserve">ORD-0560</t>
  </si>
  <si>
    <t xml:space="preserve">ORD-0561</t>
  </si>
  <si>
    <t xml:space="preserve">ORD-0562</t>
  </si>
  <si>
    <t xml:space="preserve">ORD-0563</t>
  </si>
  <si>
    <t xml:space="preserve">ORD-0564</t>
  </si>
  <si>
    <t xml:space="preserve">ORD-0565</t>
  </si>
  <si>
    <t xml:space="preserve">ORD-0566</t>
  </si>
  <si>
    <t xml:space="preserve">ORD-0567</t>
  </si>
  <si>
    <t xml:space="preserve">ORD-0568</t>
  </si>
  <si>
    <t xml:space="preserve">ORD-0569</t>
  </si>
  <si>
    <t xml:space="preserve">ORD-0570</t>
  </si>
  <si>
    <t xml:space="preserve">ORD-0571</t>
  </si>
  <si>
    <t xml:space="preserve">ORD-0572</t>
  </si>
  <si>
    <t xml:space="preserve">ORD-0573</t>
  </si>
  <si>
    <t xml:space="preserve">ORD-0574</t>
  </si>
  <si>
    <t xml:space="preserve">ORD-0575</t>
  </si>
  <si>
    <t xml:space="preserve">ORD-0576</t>
  </si>
  <si>
    <t xml:space="preserve">ORD-0577</t>
  </si>
  <si>
    <t xml:space="preserve">ORD-0578</t>
  </si>
  <si>
    <t xml:space="preserve">ORD-0579</t>
  </si>
  <si>
    <t xml:space="preserve">ORD-0580</t>
  </si>
  <si>
    <t xml:space="preserve">ORD-0581</t>
  </si>
  <si>
    <t xml:space="preserve">ORD-0582</t>
  </si>
  <si>
    <t xml:space="preserve">ORD-0583</t>
  </si>
  <si>
    <t xml:space="preserve">ORD-0584</t>
  </si>
  <si>
    <t xml:space="preserve">ORD-0585</t>
  </si>
  <si>
    <t xml:space="preserve">ORD-0586</t>
  </si>
  <si>
    <t xml:space="preserve">ORD-0587</t>
  </si>
  <si>
    <t xml:space="preserve">ORD-0588</t>
  </si>
  <si>
    <t xml:space="preserve">ORD-0589</t>
  </si>
  <si>
    <t xml:space="preserve">ORD-0590</t>
  </si>
  <si>
    <t xml:space="preserve">ORD-0591</t>
  </si>
  <si>
    <t xml:space="preserve">ORD-0592</t>
  </si>
  <si>
    <t xml:space="preserve">ORD-0593</t>
  </si>
  <si>
    <t xml:space="preserve">ORD-0594</t>
  </si>
  <si>
    <t xml:space="preserve">ORD-0595</t>
  </si>
  <si>
    <t xml:space="preserve">ORD-0596</t>
  </si>
  <si>
    <t xml:space="preserve">ORD-0597</t>
  </si>
  <si>
    <t xml:space="preserve">ORD-0598</t>
  </si>
  <si>
    <t xml:space="preserve">ORD-0599</t>
  </si>
  <si>
    <t xml:space="preserve">ORD-0600</t>
  </si>
  <si>
    <t xml:space="preserve">ORD-0601</t>
  </si>
  <si>
    <t xml:space="preserve">ORD-0602</t>
  </si>
  <si>
    <t xml:space="preserve">ORD-0603</t>
  </si>
  <si>
    <t xml:space="preserve">ORD-0604</t>
  </si>
  <si>
    <t xml:space="preserve">ORD-0605</t>
  </si>
  <si>
    <t xml:space="preserve">ORD-0606</t>
  </si>
  <si>
    <t xml:space="preserve">ORD-0607</t>
  </si>
  <si>
    <t xml:space="preserve">ORD-0608</t>
  </si>
  <si>
    <t xml:space="preserve">ORD-0609</t>
  </si>
  <si>
    <t xml:space="preserve">ORD-0610</t>
  </si>
  <si>
    <t xml:space="preserve">ORD-0611</t>
  </si>
  <si>
    <t xml:space="preserve">ORD-0612</t>
  </si>
  <si>
    <t xml:space="preserve">ORD-0613</t>
  </si>
  <si>
    <t xml:space="preserve">ORD-0614</t>
  </si>
  <si>
    <t xml:space="preserve">ORD-0615</t>
  </si>
  <si>
    <t xml:space="preserve">ORD-0616</t>
  </si>
  <si>
    <t xml:space="preserve">ORD-0617</t>
  </si>
  <si>
    <t xml:space="preserve">ORD-0618</t>
  </si>
  <si>
    <t xml:space="preserve">ORD-0619</t>
  </si>
  <si>
    <t xml:space="preserve">ORD-0620</t>
  </si>
  <si>
    <t xml:space="preserve">ORD-0621</t>
  </si>
  <si>
    <t xml:space="preserve">ORD-0622</t>
  </si>
  <si>
    <t xml:space="preserve">ORD-0623</t>
  </si>
  <si>
    <t xml:space="preserve">ORD-0624</t>
  </si>
  <si>
    <t xml:space="preserve">ORD-0625</t>
  </si>
  <si>
    <t xml:space="preserve">ORD-0626</t>
  </si>
  <si>
    <t xml:space="preserve">ORD-0627</t>
  </si>
  <si>
    <t xml:space="preserve">ORD-0628</t>
  </si>
  <si>
    <t xml:space="preserve">ORD-0629</t>
  </si>
  <si>
    <t xml:space="preserve">ORD-0630</t>
  </si>
  <si>
    <t xml:space="preserve">ORD-0631</t>
  </si>
  <si>
    <t xml:space="preserve">ORD-0632</t>
  </si>
  <si>
    <t xml:space="preserve">ORD-0633</t>
  </si>
  <si>
    <t xml:space="preserve">ORD-0634</t>
  </si>
  <si>
    <t xml:space="preserve">ORD-0635</t>
  </si>
  <si>
    <t xml:space="preserve">ORD-0636</t>
  </si>
  <si>
    <t xml:space="preserve">ORD-0637</t>
  </si>
  <si>
    <t xml:space="preserve">ORD-0638</t>
  </si>
  <si>
    <t xml:space="preserve">ORD-0639</t>
  </si>
  <si>
    <t xml:space="preserve">ORD-0640</t>
  </si>
  <si>
    <t xml:space="preserve">ORD-0641</t>
  </si>
  <si>
    <t xml:space="preserve">ORD-0642</t>
  </si>
  <si>
    <t xml:space="preserve">ORD-0643</t>
  </si>
  <si>
    <t xml:space="preserve">ORD-0644</t>
  </si>
  <si>
    <t xml:space="preserve">ORD-0645</t>
  </si>
  <si>
    <t xml:space="preserve">ORD-0646</t>
  </si>
  <si>
    <t xml:space="preserve">ORD-0647</t>
  </si>
  <si>
    <t xml:space="preserve">ORD-0648</t>
  </si>
  <si>
    <t xml:space="preserve">ORD-0649</t>
  </si>
  <si>
    <t xml:space="preserve">ORD-0650</t>
  </si>
  <si>
    <t xml:space="preserve">ORD-0651</t>
  </si>
  <si>
    <t xml:space="preserve">ORD-0652</t>
  </si>
  <si>
    <t xml:space="preserve">ORD-0653</t>
  </si>
  <si>
    <t xml:space="preserve">ORD-0654</t>
  </si>
  <si>
    <t xml:space="preserve">ORD-0655</t>
  </si>
  <si>
    <t xml:space="preserve">ORD-0656</t>
  </si>
  <si>
    <t xml:space="preserve">ORD-0657</t>
  </si>
  <si>
    <t xml:space="preserve">ORD-0658</t>
  </si>
  <si>
    <t xml:space="preserve">ORD-0659</t>
  </si>
  <si>
    <t xml:space="preserve">ORD-0660</t>
  </si>
  <si>
    <t xml:space="preserve">ORD-0661</t>
  </si>
  <si>
    <t xml:space="preserve">ORD-0662</t>
  </si>
  <si>
    <t xml:space="preserve">ORD-0663</t>
  </si>
  <si>
    <t xml:space="preserve">ORD-0664</t>
  </si>
  <si>
    <t xml:space="preserve">ORD-0665</t>
  </si>
  <si>
    <t xml:space="preserve">ORD-0666</t>
  </si>
  <si>
    <t xml:space="preserve">ORD-0667</t>
  </si>
  <si>
    <t xml:space="preserve">ORD-0668</t>
  </si>
  <si>
    <t xml:space="preserve">ORD-0669</t>
  </si>
  <si>
    <t xml:space="preserve">ORD-0670</t>
  </si>
  <si>
    <t xml:space="preserve">ORD-0671</t>
  </si>
  <si>
    <t xml:space="preserve">ORD-0672</t>
  </si>
  <si>
    <t xml:space="preserve">ORD-0673</t>
  </si>
  <si>
    <t xml:space="preserve">ORD-0674</t>
  </si>
  <si>
    <t xml:space="preserve">ORD-0675</t>
  </si>
  <si>
    <t xml:space="preserve">ORD-0676</t>
  </si>
  <si>
    <t xml:space="preserve">ORD-0677</t>
  </si>
  <si>
    <t xml:space="preserve">ORD-0678</t>
  </si>
  <si>
    <t xml:space="preserve">ORD-0679</t>
  </si>
  <si>
    <t xml:space="preserve">ORD-0680</t>
  </si>
  <si>
    <t xml:space="preserve">ORD-0681</t>
  </si>
  <si>
    <t xml:space="preserve">ORD-0682</t>
  </si>
  <si>
    <t xml:space="preserve">ORD-0683</t>
  </si>
  <si>
    <t xml:space="preserve">ORD-0684</t>
  </si>
  <si>
    <t xml:space="preserve">ORD-0685</t>
  </si>
  <si>
    <t xml:space="preserve">ORD-0686</t>
  </si>
  <si>
    <t xml:space="preserve">ORD-0687</t>
  </si>
  <si>
    <t xml:space="preserve">ORD-0688</t>
  </si>
  <si>
    <t xml:space="preserve">ORD-0689</t>
  </si>
  <si>
    <t xml:space="preserve">ORD-0690</t>
  </si>
  <si>
    <t xml:space="preserve">ORD-0691</t>
  </si>
  <si>
    <t xml:space="preserve">ORD-0692</t>
  </si>
  <si>
    <t xml:space="preserve">ORD-0693</t>
  </si>
  <si>
    <t xml:space="preserve">ORD-0694</t>
  </si>
  <si>
    <t xml:space="preserve">ORD-0695</t>
  </si>
  <si>
    <t xml:space="preserve">ORD-0696</t>
  </si>
  <si>
    <t xml:space="preserve">ORD-0697</t>
  </si>
  <si>
    <t xml:space="preserve">ORD-0698</t>
  </si>
  <si>
    <t xml:space="preserve">ORD-0699</t>
  </si>
  <si>
    <t xml:space="preserve">ORD-0700</t>
  </si>
  <si>
    <t xml:space="preserve">ORD-0701</t>
  </si>
  <si>
    <t xml:space="preserve">ORD-0702</t>
  </si>
  <si>
    <t xml:space="preserve">ORD-0703</t>
  </si>
  <si>
    <t xml:space="preserve">ORD-0704</t>
  </si>
  <si>
    <t xml:space="preserve">ORD-0705</t>
  </si>
  <si>
    <t xml:space="preserve">ORD-0706</t>
  </si>
  <si>
    <t xml:space="preserve">ORD-0707</t>
  </si>
  <si>
    <t xml:space="preserve">ORD-0708</t>
  </si>
  <si>
    <t xml:space="preserve">ORD-0709</t>
  </si>
  <si>
    <t xml:space="preserve">ORD-0710</t>
  </si>
  <si>
    <t xml:space="preserve">ORD-0711</t>
  </si>
  <si>
    <t xml:space="preserve">ORD-0712</t>
  </si>
  <si>
    <t xml:space="preserve">ORD-0713</t>
  </si>
  <si>
    <t xml:space="preserve">ORD-0714</t>
  </si>
  <si>
    <t xml:space="preserve">ORD-0715</t>
  </si>
  <si>
    <t xml:space="preserve">ORD-0716</t>
  </si>
  <si>
    <t xml:space="preserve">ORD-0717</t>
  </si>
  <si>
    <t xml:space="preserve">ORD-0718</t>
  </si>
  <si>
    <t xml:space="preserve">ORD-0719</t>
  </si>
  <si>
    <t xml:space="preserve">ORD-0720</t>
  </si>
  <si>
    <t xml:space="preserve">ORD-0721</t>
  </si>
  <si>
    <t xml:space="preserve">ORD-0722</t>
  </si>
  <si>
    <t xml:space="preserve">ORD-0723</t>
  </si>
  <si>
    <t xml:space="preserve">ORD-0724</t>
  </si>
  <si>
    <t xml:space="preserve">ORD-0725</t>
  </si>
  <si>
    <t xml:space="preserve">ORD-0726</t>
  </si>
  <si>
    <t xml:space="preserve">ORD-0727</t>
  </si>
  <si>
    <t xml:space="preserve">ORD-0728</t>
  </si>
  <si>
    <t xml:space="preserve">ORD-0729</t>
  </si>
  <si>
    <t xml:space="preserve">ORD-0730</t>
  </si>
  <si>
    <t xml:space="preserve">ORD-0731</t>
  </si>
  <si>
    <t xml:space="preserve">ORD-0732</t>
  </si>
  <si>
    <t xml:space="preserve">ORD-0733</t>
  </si>
  <si>
    <t xml:space="preserve">ORD-0734</t>
  </si>
  <si>
    <t xml:space="preserve">ORD-0735</t>
  </si>
  <si>
    <t xml:space="preserve">ORD-0736</t>
  </si>
  <si>
    <t xml:space="preserve">ORD-0737</t>
  </si>
  <si>
    <t xml:space="preserve">ORD-0738</t>
  </si>
  <si>
    <t xml:space="preserve">ORD-0739</t>
  </si>
  <si>
    <t xml:space="preserve">ORD-0740</t>
  </si>
  <si>
    <t xml:space="preserve">ORD-0741</t>
  </si>
  <si>
    <t xml:space="preserve">ORD-0742</t>
  </si>
  <si>
    <t xml:space="preserve">ORD-0743</t>
  </si>
  <si>
    <t xml:space="preserve">ORD-0744</t>
  </si>
  <si>
    <t xml:space="preserve">ORD-0745</t>
  </si>
  <si>
    <t xml:space="preserve">ORD-0746</t>
  </si>
  <si>
    <t xml:space="preserve">ORD-0747</t>
  </si>
  <si>
    <t xml:space="preserve">ORD-0748</t>
  </si>
  <si>
    <t xml:space="preserve">ORD-0749</t>
  </si>
  <si>
    <t xml:space="preserve">ORD-0750</t>
  </si>
  <si>
    <t xml:space="preserve">ORD-0751</t>
  </si>
  <si>
    <t xml:space="preserve">ORD-0752</t>
  </si>
  <si>
    <t xml:space="preserve">ORD-0753</t>
  </si>
  <si>
    <t xml:space="preserve">ORD-0754</t>
  </si>
  <si>
    <t xml:space="preserve">ORD-0755</t>
  </si>
  <si>
    <t xml:space="preserve">ORD-0756</t>
  </si>
  <si>
    <t xml:space="preserve">ORD-0757</t>
  </si>
  <si>
    <t xml:space="preserve">ORD-0758</t>
  </si>
  <si>
    <t xml:space="preserve">ORD-0759</t>
  </si>
  <si>
    <t xml:space="preserve">ORD-0760</t>
  </si>
  <si>
    <t xml:space="preserve">ORD-0761</t>
  </si>
  <si>
    <t xml:space="preserve">ORD-0762</t>
  </si>
  <si>
    <t xml:space="preserve">ORD-0763</t>
  </si>
  <si>
    <t xml:space="preserve">ORD-0764</t>
  </si>
  <si>
    <t xml:space="preserve">ORD-0765</t>
  </si>
  <si>
    <t xml:space="preserve">ORD-0766</t>
  </si>
  <si>
    <t xml:space="preserve">ORD-0767</t>
  </si>
  <si>
    <t xml:space="preserve">ORD-0768</t>
  </si>
  <si>
    <t xml:space="preserve">ORD-0769</t>
  </si>
  <si>
    <t xml:space="preserve">ORD-0770</t>
  </si>
  <si>
    <t xml:space="preserve">ORD-0771</t>
  </si>
  <si>
    <t xml:space="preserve">ORD-0772</t>
  </si>
  <si>
    <t xml:space="preserve">ORD-0773</t>
  </si>
  <si>
    <t xml:space="preserve">ORD-0774</t>
  </si>
  <si>
    <t xml:space="preserve">ORD-0775</t>
  </si>
  <si>
    <t xml:space="preserve">ORD-0776</t>
  </si>
  <si>
    <t xml:space="preserve">ORD-0777</t>
  </si>
  <si>
    <t xml:space="preserve">ORD-0778</t>
  </si>
  <si>
    <t xml:space="preserve">ORD-0779</t>
  </si>
  <si>
    <t xml:space="preserve">ORD-0780</t>
  </si>
  <si>
    <t xml:space="preserve">ORD-0781</t>
  </si>
  <si>
    <t xml:space="preserve">ORD-0782</t>
  </si>
  <si>
    <t xml:space="preserve">ORD-0783</t>
  </si>
  <si>
    <t xml:space="preserve">ORD-0784</t>
  </si>
  <si>
    <t xml:space="preserve">ORD-0785</t>
  </si>
  <si>
    <t xml:space="preserve">ORD-0786</t>
  </si>
  <si>
    <t xml:space="preserve">ORD-0787</t>
  </si>
  <si>
    <t xml:space="preserve">ORD-0788</t>
  </si>
  <si>
    <t xml:space="preserve">ORD-0789</t>
  </si>
  <si>
    <t xml:space="preserve">ORD-0790</t>
  </si>
  <si>
    <t xml:space="preserve">ORD-0791</t>
  </si>
  <si>
    <t xml:space="preserve">ORD-0792</t>
  </si>
  <si>
    <t xml:space="preserve">ORD-0793</t>
  </si>
  <si>
    <t xml:space="preserve">ORD-0794</t>
  </si>
  <si>
    <t xml:space="preserve">ORD-0795</t>
  </si>
  <si>
    <t xml:space="preserve">ORD-0796</t>
  </si>
  <si>
    <t xml:space="preserve">ORD-0797</t>
  </si>
  <si>
    <t xml:space="preserve">ORD-0798</t>
  </si>
  <si>
    <t xml:space="preserve">ORD-0799</t>
  </si>
  <si>
    <t xml:space="preserve">ORD-0800</t>
  </si>
  <si>
    <t xml:space="preserve">ORD-0801</t>
  </si>
  <si>
    <t xml:space="preserve">ORD-0802</t>
  </si>
  <si>
    <t xml:space="preserve">ORD-0803</t>
  </si>
  <si>
    <t xml:space="preserve">ORD-0804</t>
  </si>
  <si>
    <t xml:space="preserve">ORD-0805</t>
  </si>
  <si>
    <t xml:space="preserve">ORD-0806</t>
  </si>
  <si>
    <t xml:space="preserve">ORD-0807</t>
  </si>
  <si>
    <t xml:space="preserve">ORD-0808</t>
  </si>
  <si>
    <t xml:space="preserve">ORD-0809</t>
  </si>
  <si>
    <t xml:space="preserve">ORD-0810</t>
  </si>
  <si>
    <t xml:space="preserve">ORD-0811</t>
  </si>
  <si>
    <t xml:space="preserve">ORD-0812</t>
  </si>
  <si>
    <t xml:space="preserve">ORD-0813</t>
  </si>
  <si>
    <t xml:space="preserve">ORD-0814</t>
  </si>
  <si>
    <t xml:space="preserve">ORD-0815</t>
  </si>
  <si>
    <t xml:space="preserve">ORD-0816</t>
  </si>
  <si>
    <t xml:space="preserve">ORD-0817</t>
  </si>
  <si>
    <t xml:space="preserve">ORD-0818</t>
  </si>
  <si>
    <t xml:space="preserve">ORD-0819</t>
  </si>
  <si>
    <t xml:space="preserve">ORD-0820</t>
  </si>
  <si>
    <t xml:space="preserve">ORD-0821</t>
  </si>
  <si>
    <t xml:space="preserve">ORD-0822</t>
  </si>
  <si>
    <t xml:space="preserve">ORD-0823</t>
  </si>
  <si>
    <t xml:space="preserve">ORD-0824</t>
  </si>
  <si>
    <t xml:space="preserve">ORD-0825</t>
  </si>
  <si>
    <t xml:space="preserve">ORD-0826</t>
  </si>
  <si>
    <t xml:space="preserve">ORD-0827</t>
  </si>
  <si>
    <t xml:space="preserve">ORD-0828</t>
  </si>
  <si>
    <t xml:space="preserve">ORD-0829</t>
  </si>
  <si>
    <t xml:space="preserve">ORD-0830</t>
  </si>
  <si>
    <t xml:space="preserve">ORD-0831</t>
  </si>
  <si>
    <t xml:space="preserve">ORD-0832</t>
  </si>
  <si>
    <t xml:space="preserve">ORD-0833</t>
  </si>
  <si>
    <t xml:space="preserve">ORD-0834</t>
  </si>
  <si>
    <t xml:space="preserve">ORD-0835</t>
  </si>
  <si>
    <t xml:space="preserve">ORD-0836</t>
  </si>
  <si>
    <t xml:space="preserve">ORD-0837</t>
  </si>
  <si>
    <t xml:space="preserve">ORD-0838</t>
  </si>
  <si>
    <t xml:space="preserve">ORD-0839</t>
  </si>
  <si>
    <t xml:space="preserve">ORD-0840</t>
  </si>
  <si>
    <t xml:space="preserve">ORD-0841</t>
  </si>
  <si>
    <t xml:space="preserve">ORD-0842</t>
  </si>
  <si>
    <t xml:space="preserve">ORD-0843</t>
  </si>
  <si>
    <t xml:space="preserve">ORD-0844</t>
  </si>
  <si>
    <t xml:space="preserve">ORD-0845</t>
  </si>
  <si>
    <t xml:space="preserve">ORD-0846</t>
  </si>
  <si>
    <t xml:space="preserve">ORD-0847</t>
  </si>
  <si>
    <t xml:space="preserve">ORD-0848</t>
  </si>
  <si>
    <t xml:space="preserve">ORD-0849</t>
  </si>
  <si>
    <t xml:space="preserve">ORD-0850</t>
  </si>
  <si>
    <t xml:space="preserve">ORD-0851</t>
  </si>
  <si>
    <t xml:space="preserve">ORD-0852</t>
  </si>
  <si>
    <t xml:space="preserve">ORD-0853</t>
  </si>
  <si>
    <t xml:space="preserve">ORD-0854</t>
  </si>
  <si>
    <t xml:space="preserve">ORD-0855</t>
  </si>
  <si>
    <t xml:space="preserve">ORD-0856</t>
  </si>
  <si>
    <t xml:space="preserve">ORD-0857</t>
  </si>
  <si>
    <t xml:space="preserve">ORD-0858</t>
  </si>
  <si>
    <t xml:space="preserve">ORD-0859</t>
  </si>
  <si>
    <t xml:space="preserve">ORD-0860</t>
  </si>
  <si>
    <t xml:space="preserve">ORD-0861</t>
  </si>
  <si>
    <t xml:space="preserve">ORD-0862</t>
  </si>
  <si>
    <t xml:space="preserve">ORD-0863</t>
  </si>
  <si>
    <t xml:space="preserve">ORD-0864</t>
  </si>
  <si>
    <t xml:space="preserve">ORD-0865</t>
  </si>
  <si>
    <t xml:space="preserve">ORD-0866</t>
  </si>
  <si>
    <t xml:space="preserve">ORD-0867</t>
  </si>
  <si>
    <t xml:space="preserve">ORD-0868</t>
  </si>
  <si>
    <t xml:space="preserve">ORD-0869</t>
  </si>
  <si>
    <t xml:space="preserve">ORD-0870</t>
  </si>
  <si>
    <t xml:space="preserve">ORD-0871</t>
  </si>
  <si>
    <t xml:space="preserve">ORD-0872</t>
  </si>
  <si>
    <t xml:space="preserve">ORD-0873</t>
  </si>
  <si>
    <t xml:space="preserve">ORD-0874</t>
  </si>
  <si>
    <t xml:space="preserve">ORD-0875</t>
  </si>
  <si>
    <t xml:space="preserve">ORD-0876</t>
  </si>
  <si>
    <t xml:space="preserve">ORD-0877</t>
  </si>
  <si>
    <t xml:space="preserve">ORD-0878</t>
  </si>
  <si>
    <t xml:space="preserve">ORD-0879</t>
  </si>
  <si>
    <t xml:space="preserve">ORD-0880</t>
  </si>
  <si>
    <t xml:space="preserve">ORD-0881</t>
  </si>
  <si>
    <t xml:space="preserve">ORD-0882</t>
  </si>
  <si>
    <t xml:space="preserve">ORD-0883</t>
  </si>
  <si>
    <t xml:space="preserve">ORD-0884</t>
  </si>
  <si>
    <t xml:space="preserve">ORD-0885</t>
  </si>
  <si>
    <t xml:space="preserve">ORD-0886</t>
  </si>
  <si>
    <t xml:space="preserve">ORD-0887</t>
  </si>
  <si>
    <t xml:space="preserve">ORD-0888</t>
  </si>
  <si>
    <t xml:space="preserve">ORD-0889</t>
  </si>
  <si>
    <t xml:space="preserve">ORD-0890</t>
  </si>
  <si>
    <t xml:space="preserve">ORD-0891</t>
  </si>
  <si>
    <t xml:space="preserve">ORD-0892</t>
  </si>
  <si>
    <t xml:space="preserve">ORD-0893</t>
  </si>
  <si>
    <t xml:space="preserve">ORD-0894</t>
  </si>
  <si>
    <t xml:space="preserve">ORD-0895</t>
  </si>
  <si>
    <t xml:space="preserve">ORD-0896</t>
  </si>
  <si>
    <t xml:space="preserve">ORD-0897</t>
  </si>
  <si>
    <t xml:space="preserve">ORD-0898</t>
  </si>
  <si>
    <t xml:space="preserve">ORD-0899</t>
  </si>
  <si>
    <t xml:space="preserve">ORD-0900</t>
  </si>
  <si>
    <t xml:space="preserve">ORD-0901</t>
  </si>
  <si>
    <t xml:space="preserve">ORD-0902</t>
  </si>
  <si>
    <t xml:space="preserve">ORD-0903</t>
  </si>
  <si>
    <t xml:space="preserve">ORD-0904</t>
  </si>
  <si>
    <t xml:space="preserve">ORD-0905</t>
  </si>
  <si>
    <t xml:space="preserve">ORD-0906</t>
  </si>
  <si>
    <t xml:space="preserve">ORD-0907</t>
  </si>
  <si>
    <t xml:space="preserve">ORD-0908</t>
  </si>
  <si>
    <t xml:space="preserve">ORD-0909</t>
  </si>
  <si>
    <t xml:space="preserve">ORD-0910</t>
  </si>
  <si>
    <t xml:space="preserve">ORD-0911</t>
  </si>
  <si>
    <t xml:space="preserve">ORD-0912</t>
  </si>
  <si>
    <t xml:space="preserve">ORD-0913</t>
  </si>
  <si>
    <t xml:space="preserve">ORD-0914</t>
  </si>
  <si>
    <t xml:space="preserve">ORD-0915</t>
  </si>
  <si>
    <t xml:space="preserve">ORD-0916</t>
  </si>
  <si>
    <t xml:space="preserve">ORD-0917</t>
  </si>
  <si>
    <t xml:space="preserve">ORD-0918</t>
  </si>
  <si>
    <t xml:space="preserve">ORD-0919</t>
  </si>
  <si>
    <t xml:space="preserve">ORD-0920</t>
  </si>
  <si>
    <t xml:space="preserve">ORD-0921</t>
  </si>
  <si>
    <t xml:space="preserve">ORD-0922</t>
  </si>
  <si>
    <t xml:space="preserve">ORD-0923</t>
  </si>
  <si>
    <t xml:space="preserve">ORD-0924</t>
  </si>
  <si>
    <t xml:space="preserve">ORD-0925</t>
  </si>
  <si>
    <t xml:space="preserve">ORD-0926</t>
  </si>
  <si>
    <t xml:space="preserve">ORD-0927</t>
  </si>
  <si>
    <t xml:space="preserve">ORD-0928</t>
  </si>
  <si>
    <t xml:space="preserve">ORD-0929</t>
  </si>
  <si>
    <t xml:space="preserve">ORD-0930</t>
  </si>
  <si>
    <t xml:space="preserve">ORD-0931</t>
  </si>
  <si>
    <t xml:space="preserve">ORD-0932</t>
  </si>
  <si>
    <t xml:space="preserve">ORD-0933</t>
  </si>
  <si>
    <t xml:space="preserve">ORD-0934</t>
  </si>
  <si>
    <t xml:space="preserve">ORD-0935</t>
  </si>
  <si>
    <t xml:space="preserve">ORD-0936</t>
  </si>
  <si>
    <t xml:space="preserve">ORD-0937</t>
  </si>
  <si>
    <t xml:space="preserve">ORD-0938</t>
  </si>
  <si>
    <t xml:space="preserve">ORD-0939</t>
  </si>
  <si>
    <t xml:space="preserve">ORD-0940</t>
  </si>
  <si>
    <t xml:space="preserve">ORD-0941</t>
  </si>
  <si>
    <t xml:space="preserve">ORD-0942</t>
  </si>
  <si>
    <t xml:space="preserve">ORD-0943</t>
  </si>
  <si>
    <t xml:space="preserve">ORD-0944</t>
  </si>
  <si>
    <t xml:space="preserve">ORD-0945</t>
  </si>
  <si>
    <t xml:space="preserve">ORD-0946</t>
  </si>
  <si>
    <t xml:space="preserve">ORD-0947</t>
  </si>
  <si>
    <t xml:space="preserve">ORD-0948</t>
  </si>
  <si>
    <t xml:space="preserve">ORD-0949</t>
  </si>
  <si>
    <t xml:space="preserve">ORD-0950</t>
  </si>
  <si>
    <t xml:space="preserve">ORD-0951</t>
  </si>
  <si>
    <t xml:space="preserve">ORD-0952</t>
  </si>
  <si>
    <t xml:space="preserve">ORD-0953</t>
  </si>
  <si>
    <t xml:space="preserve">ORD-0954</t>
  </si>
  <si>
    <t xml:space="preserve">ORD-0955</t>
  </si>
  <si>
    <t xml:space="preserve">ORD-0956</t>
  </si>
  <si>
    <t xml:space="preserve">ORD-0957</t>
  </si>
  <si>
    <t xml:space="preserve">ORD-0958</t>
  </si>
  <si>
    <t xml:space="preserve">ORD-0959</t>
  </si>
  <si>
    <t xml:space="preserve">ORD-0960</t>
  </si>
  <si>
    <t xml:space="preserve">ORD-0961</t>
  </si>
  <si>
    <t xml:space="preserve">ORD-0962</t>
  </si>
  <si>
    <t xml:space="preserve">ORD-0963</t>
  </si>
  <si>
    <t xml:space="preserve">ORD-0964</t>
  </si>
  <si>
    <t xml:space="preserve">ORD-0965</t>
  </si>
  <si>
    <t xml:space="preserve">ORD-0966</t>
  </si>
  <si>
    <t xml:space="preserve">ORD-0967</t>
  </si>
  <si>
    <t xml:space="preserve">ORD-0968</t>
  </si>
  <si>
    <t xml:space="preserve">ORD-0969</t>
  </si>
  <si>
    <t xml:space="preserve">ORD-0970</t>
  </si>
  <si>
    <t xml:space="preserve">ORD-0971</t>
  </si>
  <si>
    <t xml:space="preserve">ORD-0972</t>
  </si>
  <si>
    <t xml:space="preserve">ORD-0973</t>
  </si>
  <si>
    <t xml:space="preserve">ORD-0974</t>
  </si>
  <si>
    <t xml:space="preserve">ORD-0975</t>
  </si>
  <si>
    <t xml:space="preserve">ORD-0976</t>
  </si>
  <si>
    <t xml:space="preserve">ORD-0977</t>
  </si>
  <si>
    <t xml:space="preserve">ORD-0978</t>
  </si>
  <si>
    <t xml:space="preserve">ORD-0979</t>
  </si>
  <si>
    <t xml:space="preserve">ORD-0980</t>
  </si>
  <si>
    <t xml:space="preserve">ORD-0981</t>
  </si>
  <si>
    <t xml:space="preserve">ORD-0982</t>
  </si>
  <si>
    <t xml:space="preserve">ORD-0983</t>
  </si>
  <si>
    <t xml:space="preserve">ORD-0984</t>
  </si>
  <si>
    <t xml:space="preserve">ORD-0985</t>
  </si>
  <si>
    <t xml:space="preserve">ORD-0986</t>
  </si>
  <si>
    <t xml:space="preserve">ORD-0987</t>
  </si>
  <si>
    <t xml:space="preserve">ORD-0988</t>
  </si>
  <si>
    <t xml:space="preserve">ORD-0989</t>
  </si>
  <si>
    <t xml:space="preserve">ORD-0990</t>
  </si>
  <si>
    <t xml:space="preserve">ORD-0991</t>
  </si>
  <si>
    <t xml:space="preserve">ORD-0992</t>
  </si>
  <si>
    <t xml:space="preserve">ORD-0993</t>
  </si>
  <si>
    <t xml:space="preserve">ORD-0994</t>
  </si>
  <si>
    <t xml:space="preserve">ORD-0995</t>
  </si>
  <si>
    <t xml:space="preserve">ORD-0996</t>
  </si>
  <si>
    <t xml:space="preserve">ORD-0997</t>
  </si>
  <si>
    <t xml:space="preserve">ORD-0998</t>
  </si>
  <si>
    <t xml:space="preserve">ORD-0999</t>
  </si>
  <si>
    <t xml:space="preserve">ORD-1000</t>
  </si>
  <si>
    <t xml:space="preserve">ORD-1001</t>
  </si>
  <si>
    <t xml:space="preserve">ORD-1002</t>
  </si>
  <si>
    <t xml:space="preserve">ORD-1003</t>
  </si>
  <si>
    <t xml:space="preserve">ORD-1004</t>
  </si>
  <si>
    <t xml:space="preserve">ORD-1005</t>
  </si>
  <si>
    <t xml:space="preserve">ORD-1006</t>
  </si>
  <si>
    <t xml:space="preserve">ORD-1007</t>
  </si>
  <si>
    <t xml:space="preserve">ORD-1008</t>
  </si>
  <si>
    <t xml:space="preserve">ORD-1009</t>
  </si>
  <si>
    <t xml:space="preserve">ORD-1010</t>
  </si>
  <si>
    <t xml:space="preserve">ORD-1011</t>
  </si>
  <si>
    <t xml:space="preserve">ORD-1012</t>
  </si>
  <si>
    <t xml:space="preserve">ORD-1013</t>
  </si>
  <si>
    <t xml:space="preserve">ORD-1014</t>
  </si>
  <si>
    <t xml:space="preserve">ORD-1015</t>
  </si>
  <si>
    <t xml:space="preserve">ORD-1016</t>
  </si>
  <si>
    <t xml:space="preserve">ORD-1017</t>
  </si>
  <si>
    <t xml:space="preserve">ORD-1018</t>
  </si>
  <si>
    <t xml:space="preserve">ORD-1019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</si>
  <si>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</si>
  <si>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</si>
  <si>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</si>
  <si>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</si>
  <si>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</si>
  <si>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</si>
  <si>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</si>
  <si>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</si>
  <si>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</si>
  <si>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</si>
  <si>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</si>
  <si>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</si>
  <si>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</si>
  <si>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</si>
  <si>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</si>
  <si>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</si>
  <si>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</si>
  <si>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</si>
  <si>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</si>
  <si>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</si>
  <si>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</si>
  <si>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</si>
  <si>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</si>
  <si>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</si>
  <si>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</si>
  <si>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</si>
  <si>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</si>
  <si>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</si>
  <si>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</si>
  <si>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</si>
  <si>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</si>
  <si>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</si>
  <si>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</si>
  <si>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</si>
  <si>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</si>
  <si>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</si>
  <si>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</si>
  <si>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</si>
  <si>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</si>
  <si>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</si>
  <si>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</si>
  <si>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</si>
  <si>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</si>
  <si>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</si>
  <si>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</si>
  <si>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</si>
  <si>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</si>
  <si>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</si>
  <si>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</si>
  <si>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</si>
  <si>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</si>
  <si>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</si>
  <si>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</si>
  <si>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</si>
  <si>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</si>
  <si>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</si>
  <si>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</si>
  <si>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</si>
  <si>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</si>
  <si>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</si>
  <si>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</si>
  <si>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</si>
  <si>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</si>
  <si>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</si>
  <si>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</si>
  <si>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</si>
  <si>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</si>
  <si>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</si>
  <si>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</si>
  <si>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</si>
  <si>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</si>
  <si>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</si>
  <si>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</si>
  <si>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</si>
  <si>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</si>
  <si>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</si>
  <si>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</si>
  <si>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</si>
  <si>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</si>
  <si>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</si>
  <si>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</si>
  <si>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</si>
  <si>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</si>
  <si>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</si>
  <si>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</si>
  <si>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</si>
  <si>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</si>
  <si>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</si>
  <si>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</si>
  <si>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</si>
  <si>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</si>
  <si>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</si>
  <si>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</si>
  <si>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</si>
  <si>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</si>
  <si>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</si>
  <si>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</si>
  <si>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</si>
  <si>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</si>
  <si>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</si>
  <si>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</si>
  <si>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</si>
  <si>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</si>
  <si>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ORD-1123</t>
  </si>
  <si>
    <t xml:space="preserve">ORD-1124</t>
  </si>
  <si>
    <t xml:space="preserve">ORD-1125</t>
  </si>
  <si>
    <t xml:space="preserve">ORD-1126</t>
  </si>
  <si>
    <t xml:space="preserve">ORD-1127</t>
  </si>
  <si>
    <t xml:space="preserve">ORD-1128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</si>
  <si>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</si>
  <si>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</si>
  <si>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</si>
  <si>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</si>
  <si>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</si>
  <si>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</si>
  <si>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</si>
  <si>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</si>
  <si>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</si>
  <si>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</si>
  <si>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</si>
  <si>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ORD-1140</t>
  </si>
  <si>
    <t xml:space="preserve">ORD-1141</t>
  </si>
  <si>
    <t xml:space="preserve">ORD-1142</t>
  </si>
  <si>
    <t xml:space="preserve">ORD-1143</t>
  </si>
  <si>
    <t xml:space="preserve">ORD-1144</t>
  </si>
  <si>
    <t xml:space="preserve">ORD-1145</t>
  </si>
  <si>
    <t xml:space="preserve">ORD-1146</t>
  </si>
  <si>
    <t xml:space="preserve">ORD-1147</t>
  </si>
  <si>
    <t xml:space="preserve">ORD-1148</t>
  </si>
  <si>
    <t xml:space="preserve">ORD-1149</t>
  </si>
  <si>
    <t xml:space="preserve">ORD-1150</t>
  </si>
  <si>
    <t xml:space="preserve">ORD-1151</t>
  </si>
  <si>
    <t xml:space="preserve">ORD-1152</t>
  </si>
  <si>
    <t xml:space="preserve">ORD-1153</t>
  </si>
  <si>
    <t xml:space="preserve">ORD-1154</t>
  </si>
  <si>
    <t xml:space="preserve">ORD-1155</t>
  </si>
  <si>
    <t xml:space="preserve">ORD-1156</t>
  </si>
  <si>
    <t xml:space="preserve">ORD-1157</t>
  </si>
  <si>
    <t xml:space="preserve">ORD-1158</t>
  </si>
  <si>
    <t xml:space="preserve">ORD-1159</t>
  </si>
  <si>
    <t xml:space="preserve">ORD-1160</t>
  </si>
  <si>
    <t xml:space="preserve">ORD-1161</t>
  </si>
  <si>
    <t xml:space="preserve">ORD-1162</t>
  </si>
  <si>
    <t xml:space="preserve">ORD-1163</t>
  </si>
  <si>
    <t xml:space="preserve">ORD-1164</t>
  </si>
  <si>
    <t xml:space="preserve">ORD-1165</t>
  </si>
  <si>
    <t xml:space="preserve">ORD-1166</t>
  </si>
  <si>
    <t xml:space="preserve">ORD-1167</t>
  </si>
  <si>
    <t xml:space="preserve">ORD-1168</t>
  </si>
  <si>
    <t xml:space="preserve">ORD-1169</t>
  </si>
  <si>
    <t xml:space="preserve">ORD-1170</t>
  </si>
  <si>
    <t xml:space="preserve">ORD-1171</t>
  </si>
  <si>
    <t xml:space="preserve">ORD-1172</t>
  </si>
  <si>
    <t xml:space="preserve">ORD-1173</t>
  </si>
  <si>
    <t xml:space="preserve">ORD-1174</t>
  </si>
  <si>
    <t xml:space="preserve">ORD-1175</t>
  </si>
  <si>
    <t xml:space="preserve">ORD-1176</t>
  </si>
  <si>
    <t xml:space="preserve">ORD-1177</t>
  </si>
  <si>
    <t xml:space="preserve">ORD-1178</t>
  </si>
  <si>
    <t xml:space="preserve">ORD-1179</t>
  </si>
  <si>
    <t xml:space="preserve">ORD-1180</t>
  </si>
  <si>
    <t xml:space="preserve">ORD-1181</t>
  </si>
  <si>
    <t xml:space="preserve">ORD-1182</t>
  </si>
  <si>
    <t xml:space="preserve">ORD-1183</t>
  </si>
  <si>
    <t xml:space="preserve">ORD-1184</t>
  </si>
  <si>
    <t xml:space="preserve">ORD-1185</t>
  </si>
  <si>
    <t xml:space="preserve">ORD-1186</t>
  </si>
  <si>
    <t xml:space="preserve">ORD-1187</t>
  </si>
  <si>
    <t xml:space="preserve">ORD-1188</t>
  </si>
  <si>
    <t xml:space="preserve">ORD-1189</t>
  </si>
  <si>
    <t xml:space="preserve">ORD-1190</t>
  </si>
  <si>
    <t xml:space="preserve">ORD-1191</t>
  </si>
  <si>
    <t xml:space="preserve">ORD-1192</t>
  </si>
  <si>
    <t xml:space="preserve">ORD-1193</t>
  </si>
  <si>
    <t xml:space="preserve">ORD-1194</t>
  </si>
  <si>
    <t xml:space="preserve">ORD-1195</t>
  </si>
  <si>
    <t xml:space="preserve">ORD-1196</t>
  </si>
  <si>
    <t xml:space="preserve">ORD-1197</t>
  </si>
  <si>
    <t xml:space="preserve">ORD-1198</t>
  </si>
  <si>
    <t xml:space="preserve">ORD-1199</t>
  </si>
  <si>
    <t xml:space="preserve">ORD-1200</t>
  </si>
  <si>
    <t xml:space="preserve">ORD-1201</t>
  </si>
  <si>
    <t xml:space="preserve">ORD-1202</t>
  </si>
  <si>
    <t xml:space="preserve">ORD-1203</t>
  </si>
  <si>
    <t xml:space="preserve">ORD-1204</t>
  </si>
  <si>
    <t xml:space="preserve">ORD-1205</t>
  </si>
  <si>
    <t xml:space="preserve">ORD-1206</t>
  </si>
  <si>
    <t xml:space="preserve">ORD-1207</t>
  </si>
  <si>
    <t xml:space="preserve">ORD-1208</t>
  </si>
  <si>
    <t xml:space="preserve">ORD-1209</t>
  </si>
  <si>
    <t xml:space="preserve">ORD-1210</t>
  </si>
  <si>
    <t xml:space="preserve">ORD-1211</t>
  </si>
  <si>
    <t xml:space="preserve">ORD-1212</t>
  </si>
  <si>
    <t xml:space="preserve">ORD-1213</t>
  </si>
  <si>
    <t xml:space="preserve">ORD-1214</t>
  </si>
  <si>
    <t xml:space="preserve">ORD-1215</t>
  </si>
  <si>
    <t xml:space="preserve">ORD-1216</t>
  </si>
  <si>
    <t xml:space="preserve">ORD-1217</t>
  </si>
  <si>
    <t xml:space="preserve">ORD-1218</t>
  </si>
  <si>
    <t xml:space="preserve">ORD-1219</t>
  </si>
  <si>
    <t xml:space="preserve">ORD-1220</t>
  </si>
  <si>
    <t xml:space="preserve">ORD-1221</t>
  </si>
  <si>
    <t xml:space="preserve">ORD-1222</t>
  </si>
  <si>
    <t xml:space="preserve">ORD-1223</t>
  </si>
  <si>
    <t xml:space="preserve">ORD-1224</t>
  </si>
  <si>
    <t xml:space="preserve">ORD-1225</t>
  </si>
  <si>
    <t xml:space="preserve">ORD-1226</t>
  </si>
  <si>
    <t xml:space="preserve">ORD-1227</t>
  </si>
  <si>
    <t xml:space="preserve">ORD-1228</t>
  </si>
  <si>
    <t xml:space="preserve">ORD-1229</t>
  </si>
  <si>
    <t xml:space="preserve">ORD-1230</t>
  </si>
  <si>
    <t xml:space="preserve">ORD-1231</t>
  </si>
  <si>
    <t xml:space="preserve">ORD-1232</t>
  </si>
  <si>
    <t xml:space="preserve">ORD-1233</t>
  </si>
  <si>
    <t xml:space="preserve">ORD-1234</t>
  </si>
  <si>
    <t xml:space="preserve">ORD-1235</t>
  </si>
  <si>
    <t xml:space="preserve">ORD-1236</t>
  </si>
  <si>
    <t xml:space="preserve">ORD-1237</t>
  </si>
  <si>
    <t xml:space="preserve">ORD-1238</t>
  </si>
  <si>
    <t xml:space="preserve">ORD-1239</t>
  </si>
  <si>
    <t xml:space="preserve">ORD-1240</t>
  </si>
  <si>
    <t xml:space="preserve">ORD-1241</t>
  </si>
  <si>
    <t xml:space="preserve">ORD-1242</t>
  </si>
  <si>
    <t xml:space="preserve">ORD-1243</t>
  </si>
  <si>
    <t xml:space="preserve">ORD-1244</t>
  </si>
  <si>
    <t xml:space="preserve">ORD-1245</t>
  </si>
  <si>
    <t xml:space="preserve">ORD-1246</t>
  </si>
  <si>
    <t xml:space="preserve">ORD-1247</t>
  </si>
  <si>
    <t xml:space="preserve">ORD-1248</t>
  </si>
  <si>
    <t xml:space="preserve">ORD-1249</t>
  </si>
  <si>
    <t xml:space="preserve">ORD-1250</t>
  </si>
  <si>
    <t xml:space="preserve">ORD-1251</t>
  </si>
  <si>
    <t xml:space="preserve">ORD-1252</t>
  </si>
  <si>
    <t xml:space="preserve">ORD-1253</t>
  </si>
  <si>
    <t xml:space="preserve">ORD-1254</t>
  </si>
  <si>
    <t xml:space="preserve">ORD-1255</t>
  </si>
  <si>
    <t xml:space="preserve">ORD-1256</t>
  </si>
  <si>
    <t xml:space="preserve">ORD-1257</t>
  </si>
  <si>
    <t xml:space="preserve">ORD-1258</t>
  </si>
  <si>
    <t xml:space="preserve">ORD-1259</t>
  </si>
  <si>
    <t xml:space="preserve">ORD-1260</t>
  </si>
  <si>
    <t xml:space="preserve">ORD-1261</t>
  </si>
  <si>
    <t xml:space="preserve">ORD-1262</t>
  </si>
  <si>
    <t xml:space="preserve">ORD-1263</t>
  </si>
  <si>
    <t xml:space="preserve">ORD-1264</t>
  </si>
  <si>
    <t xml:space="preserve">ORD-1265</t>
  </si>
  <si>
    <t xml:space="preserve">ORD-1266</t>
  </si>
  <si>
    <t xml:space="preserve">ORD-1267</t>
  </si>
  <si>
    <t xml:space="preserve">ORD-1268</t>
  </si>
  <si>
    <t xml:space="preserve">ORD-1269</t>
  </si>
  <si>
    <t xml:space="preserve">ORD-1270</t>
  </si>
  <si>
    <t xml:space="preserve">ORD-1271</t>
  </si>
  <si>
    <t xml:space="preserve">ORD-1272</t>
  </si>
  <si>
    <t xml:space="preserve">ORD-1273</t>
  </si>
  <si>
    <t xml:space="preserve">ORD-1274</t>
  </si>
  <si>
    <t xml:space="preserve">ORD-1275</t>
  </si>
  <si>
    <t xml:space="preserve">ORD-1276</t>
  </si>
  <si>
    <t xml:space="preserve">ORD-1277</t>
  </si>
  <si>
    <t xml:space="preserve">ORD-1278</t>
  </si>
  <si>
    <t xml:space="preserve">ORD-1279</t>
  </si>
  <si>
    <t xml:space="preserve">ORD-1280</t>
  </si>
  <si>
    <t xml:space="preserve">ORD-1281</t>
  </si>
  <si>
    <t xml:space="preserve">ORD-1282</t>
  </si>
  <si>
    <t xml:space="preserve">ORD-1283</t>
  </si>
  <si>
    <t xml:space="preserve">ORD-1284</t>
  </si>
  <si>
    <t xml:space="preserve">ORD-1285</t>
  </si>
  <si>
    <t xml:space="preserve">ORD-1286</t>
  </si>
  <si>
    <t xml:space="preserve">ORD-1287</t>
  </si>
  <si>
    <t xml:space="preserve">ORD-1288</t>
  </si>
  <si>
    <t xml:space="preserve">ORD-1289</t>
  </si>
  <si>
    <t xml:space="preserve">ORD-1290</t>
  </si>
  <si>
    <t xml:space="preserve">ORD-1291</t>
  </si>
  <si>
    <t xml:space="preserve">ORD-1292</t>
  </si>
  <si>
    <t xml:space="preserve">ORD-1293</t>
  </si>
  <si>
    <t xml:space="preserve">ORD-1294</t>
  </si>
  <si>
    <t xml:space="preserve">ORD-1295</t>
  </si>
  <si>
    <t xml:space="preserve">ORD-1296</t>
  </si>
  <si>
    <t xml:space="preserve">ORD-1297</t>
  </si>
  <si>
    <t xml:space="preserve">ORD-1298</t>
  </si>
  <si>
    <t xml:space="preserve">ORD-1299</t>
  </si>
  <si>
    <t xml:space="preserve">ORD-1300</t>
  </si>
  <si>
    <t xml:space="preserve">ORD-1301</t>
  </si>
  <si>
    <t xml:space="preserve">ORD-1302</t>
  </si>
  <si>
    <t xml:space="preserve">ORD-1303</t>
  </si>
  <si>
    <t xml:space="preserve">ORD-1304</t>
  </si>
  <si>
    <t xml:space="preserve">ORD-1305</t>
  </si>
  <si>
    <t xml:space="preserve">ORD-1306</t>
  </si>
  <si>
    <t xml:space="preserve">ORD-1307</t>
  </si>
  <si>
    <t xml:space="preserve">ORD-1308</t>
  </si>
  <si>
    <t xml:space="preserve">ORD-1309</t>
  </si>
  <si>
    <t xml:space="preserve">ORD-1310</t>
  </si>
  <si>
    <t xml:space="preserve">ORD-1311</t>
  </si>
  <si>
    <t xml:space="preserve">ORD-1312</t>
  </si>
  <si>
    <t xml:space="preserve">ORD-1313</t>
  </si>
  <si>
    <t xml:space="preserve">ORD-1314</t>
  </si>
  <si>
    <t xml:space="preserve">ORD-1315</t>
  </si>
  <si>
    <t xml:space="preserve">ORD-1316</t>
  </si>
  <si>
    <t xml:space="preserve">ORD-1317</t>
  </si>
  <si>
    <t xml:space="preserve">ORD-1318</t>
  </si>
  <si>
    <t xml:space="preserve">ORD-1319</t>
  </si>
  <si>
    <t xml:space="preserve">ORD-1320</t>
  </si>
  <si>
    <t xml:space="preserve">ORD-1321</t>
  </si>
  <si>
    <t xml:space="preserve">ORD-1322</t>
  </si>
  <si>
    <t xml:space="preserve">ORD-1323</t>
  </si>
  <si>
    <t xml:space="preserve">ORD-1324</t>
  </si>
  <si>
    <t xml:space="preserve">ORD-1325</t>
  </si>
  <si>
    <t xml:space="preserve">ORD-1326</t>
  </si>
  <si>
    <t xml:space="preserve">ORD-1327</t>
  </si>
  <si>
    <t xml:space="preserve">ORD-1328</t>
  </si>
  <si>
    <t xml:space="preserve">ORD-1329</t>
  </si>
  <si>
    <t xml:space="preserve">ORD-1330</t>
  </si>
  <si>
    <t xml:space="preserve">ORD-1331</t>
  </si>
  <si>
    <t xml:space="preserve">ORD-1332</t>
  </si>
  <si>
    <t xml:space="preserve">ORD-1333</t>
  </si>
  <si>
    <t xml:space="preserve">ORD-1334</t>
  </si>
  <si>
    <t xml:space="preserve">ORD-1335</t>
  </si>
  <si>
    <t xml:space="preserve">ORD-1336</t>
  </si>
  <si>
    <t xml:space="preserve">ORD-1337</t>
  </si>
  <si>
    <t xml:space="preserve">ORD-1338</t>
  </si>
  <si>
    <t xml:space="preserve">ORD-1339</t>
  </si>
  <si>
    <t xml:space="preserve">ORD-1340</t>
  </si>
  <si>
    <t xml:space="preserve">ORD-1341</t>
  </si>
  <si>
    <t xml:space="preserve">ORD-1342</t>
  </si>
  <si>
    <t xml:space="preserve">ORD-1343</t>
  </si>
  <si>
    <t xml:space="preserve">ORD-1344</t>
  </si>
  <si>
    <t xml:space="preserve">ORD-1345</t>
  </si>
  <si>
    <t xml:space="preserve">ORD-1346</t>
  </si>
  <si>
    <t xml:space="preserve">ORD-1347</t>
  </si>
  <si>
    <t xml:space="preserve">ORD-1348</t>
  </si>
  <si>
    <t xml:space="preserve">ORD-1349</t>
  </si>
  <si>
    <t xml:space="preserve">ORD-1350</t>
  </si>
  <si>
    <t xml:space="preserve">ORD-1351</t>
  </si>
  <si>
    <t xml:space="preserve">ORD-1352</t>
  </si>
  <si>
    <t xml:space="preserve">ORD-1353</t>
  </si>
  <si>
    <t xml:space="preserve">ORD-1354</t>
  </si>
  <si>
    <t xml:space="preserve">ORD-1355</t>
  </si>
  <si>
    <t xml:space="preserve">ORD-1356</t>
  </si>
  <si>
    <t xml:space="preserve">ORD-1357</t>
  </si>
  <si>
    <t xml:space="preserve">ORD-1358</t>
  </si>
  <si>
    <t xml:space="preserve">ORD-1359</t>
  </si>
  <si>
    <t xml:space="preserve">ORD-1360</t>
  </si>
  <si>
    <t xml:space="preserve">ORD-1361</t>
  </si>
  <si>
    <t xml:space="preserve">ORD-1362</t>
  </si>
  <si>
    <t xml:space="preserve">ORD-1363</t>
  </si>
  <si>
    <t xml:space="preserve">ORD-1364</t>
  </si>
  <si>
    <t xml:space="preserve">ORD-1365</t>
  </si>
  <si>
    <t xml:space="preserve">ORD-1366</t>
  </si>
  <si>
    <t xml:space="preserve">ORD-1367</t>
  </si>
  <si>
    <t xml:space="preserve">ORD-1368</t>
  </si>
  <si>
    <t xml:space="preserve">ORD-1369</t>
  </si>
  <si>
    <t xml:space="preserve">ORD-1370</t>
  </si>
  <si>
    <t xml:space="preserve">ORD-1371</t>
  </si>
  <si>
    <t xml:space="preserve">ORD-1372</t>
  </si>
  <si>
    <t xml:space="preserve">ORD-1373</t>
  </si>
  <si>
    <t xml:space="preserve">ORD-1374</t>
  </si>
  <si>
    <t xml:space="preserve">ORD-1375</t>
  </si>
  <si>
    <t xml:space="preserve">ORD-1376</t>
  </si>
  <si>
    <t xml:space="preserve">ORD-1377</t>
  </si>
  <si>
    <t xml:space="preserve">ORD-1378</t>
  </si>
  <si>
    <t xml:space="preserve">ORD-1379</t>
  </si>
  <si>
    <t xml:space="preserve">ORD-1380</t>
  </si>
  <si>
    <t xml:space="preserve">ORD-1381</t>
  </si>
  <si>
    <t xml:space="preserve">ORD-1382</t>
  </si>
  <si>
    <t xml:space="preserve">ORD-1383</t>
  </si>
  <si>
    <t xml:space="preserve">ORD-1384</t>
  </si>
  <si>
    <t xml:space="preserve">ORD-1385</t>
  </si>
  <si>
    <t xml:space="preserve">ORD-1386</t>
  </si>
  <si>
    <t xml:space="preserve">ORD-1387</t>
  </si>
  <si>
    <t xml:space="preserve">ORD-1388</t>
  </si>
  <si>
    <t xml:space="preserve">ORD-1389</t>
  </si>
  <si>
    <t xml:space="preserve">ORD-1390</t>
  </si>
  <si>
    <t xml:space="preserve">ORD-1391</t>
  </si>
  <si>
    <t xml:space="preserve">ORD-1392</t>
  </si>
  <si>
    <t xml:space="preserve">ORD-1393</t>
  </si>
  <si>
    <t xml:space="preserve">ORD-1394</t>
  </si>
  <si>
    <t xml:space="preserve">ORD-1395</t>
  </si>
  <si>
    <t xml:space="preserve">ORD-1396</t>
  </si>
  <si>
    <t xml:space="preserve">ORD-1397</t>
  </si>
  <si>
    <t xml:space="preserve">ORD-1398</t>
  </si>
  <si>
    <t xml:space="preserve">ORD-1399</t>
  </si>
  <si>
    <t xml:space="preserve">ORD-1400</t>
  </si>
  <si>
    <t xml:space="preserve">ORD-1401</t>
  </si>
  <si>
    <t xml:space="preserve">ORD-1402</t>
  </si>
  <si>
    <t xml:space="preserve">ORD-1403</t>
  </si>
  <si>
    <t xml:space="preserve">ORD-1404</t>
  </si>
  <si>
    <t xml:space="preserve">ORD-1405</t>
  </si>
  <si>
    <t xml:space="preserve">ORD-1406</t>
  </si>
  <si>
    <t xml:space="preserve">ORD-1407</t>
  </si>
  <si>
    <t xml:space="preserve">ORD-1408</t>
  </si>
  <si>
    <t xml:space="preserve">ORD-1409</t>
  </si>
  <si>
    <t xml:space="preserve">ORD-1410</t>
  </si>
  <si>
    <t xml:space="preserve">ORD-1411</t>
  </si>
  <si>
    <t xml:space="preserve">ORD-1412</t>
  </si>
  <si>
    <t xml:space="preserve">ORD-1413</t>
  </si>
  <si>
    <t xml:space="preserve">ORD-1414</t>
  </si>
  <si>
    <t xml:space="preserve">ORD-1415</t>
  </si>
  <si>
    <t xml:space="preserve">ORD-1416</t>
  </si>
  <si>
    <t xml:space="preserve">ORD-1417</t>
  </si>
  <si>
    <t xml:space="preserve">ORD-1418</t>
  </si>
  <si>
    <t xml:space="preserve">ORD-1419</t>
  </si>
  <si>
    <t xml:space="preserve">ORD-1420</t>
  </si>
  <si>
    <t xml:space="preserve">ORD-1421</t>
  </si>
  <si>
    <t xml:space="preserve">ORD-1422</t>
  </si>
  <si>
    <t xml:space="preserve">ORD-1423</t>
  </si>
  <si>
    <t xml:space="preserve">ORD-1424</t>
  </si>
  <si>
    <t xml:space="preserve">ORD-1425</t>
  </si>
  <si>
    <t xml:space="preserve">ORD-1426</t>
  </si>
  <si>
    <t xml:space="preserve">ORD-1427</t>
  </si>
  <si>
    <t xml:space="preserve">ORD-1428</t>
  </si>
  <si>
    <t xml:space="preserve">ORD-1429</t>
  </si>
  <si>
    <t xml:space="preserve">ORD-1430</t>
  </si>
  <si>
    <t xml:space="preserve">ORD-1431</t>
  </si>
  <si>
    <t xml:space="preserve">ORD-1432</t>
  </si>
  <si>
    <t xml:space="preserve">ORD-1433</t>
  </si>
  <si>
    <t xml:space="preserve">ORD-1434</t>
  </si>
  <si>
    <t xml:space="preserve">ORD-1435</t>
  </si>
  <si>
    <t xml:space="preserve">ORD-1436</t>
  </si>
  <si>
    <t xml:space="preserve">ORD-1437</t>
  </si>
  <si>
    <t xml:space="preserve">ORD-1438</t>
  </si>
  <si>
    <t xml:space="preserve">ORD-1439</t>
  </si>
  <si>
    <t xml:space="preserve">ORD-1440</t>
  </si>
  <si>
    <t xml:space="preserve">ORD-1441</t>
  </si>
  <si>
    <t xml:space="preserve">ORD-1442</t>
  </si>
  <si>
    <t xml:space="preserve">ORD-1443</t>
  </si>
  <si>
    <t xml:space="preserve">ORD-1444</t>
  </si>
  <si>
    <t xml:space="preserve">ORD-1445</t>
  </si>
  <si>
    <t xml:space="preserve">ORD-1446</t>
  </si>
  <si>
    <t xml:space="preserve">ORD-1447</t>
  </si>
  <si>
    <t xml:space="preserve">ORD-1448</t>
  </si>
  <si>
    <t xml:space="preserve">ORD-1449</t>
  </si>
  <si>
    <t xml:space="preserve">ORD-1450</t>
  </si>
  <si>
    <t xml:space="preserve">ORD-1451</t>
  </si>
  <si>
    <t xml:space="preserve">ORD-1452</t>
  </si>
  <si>
    <t xml:space="preserve">ORD-1453</t>
  </si>
  <si>
    <t xml:space="preserve">ORD-1454</t>
  </si>
  <si>
    <t xml:space="preserve">ORD-1455</t>
  </si>
  <si>
    <t xml:space="preserve">ORD-1456</t>
  </si>
  <si>
    <t xml:space="preserve">ORD-1457</t>
  </si>
  <si>
    <t xml:space="preserve">ORD-1458</t>
  </si>
  <si>
    <t xml:space="preserve">ORD-1459</t>
  </si>
  <si>
    <t xml:space="preserve">ORD-1460</t>
  </si>
  <si>
    <t xml:space="preserve">ORD-1461</t>
  </si>
  <si>
    <t xml:space="preserve">ORD-1462</t>
  </si>
  <si>
    <t xml:space="preserve">ORD-1463</t>
  </si>
  <si>
    <t xml:space="preserve">ORD-1464</t>
  </si>
  <si>
    <t xml:space="preserve">ORD-1465</t>
  </si>
  <si>
    <t xml:space="preserve">ORD-1466</t>
  </si>
  <si>
    <t xml:space="preserve">ORD-1467</t>
  </si>
  <si>
    <t xml:space="preserve">ORD-1468</t>
  </si>
  <si>
    <t xml:space="preserve">ORD-1469</t>
  </si>
  <si>
    <t xml:space="preserve">ORD-1470</t>
  </si>
  <si>
    <t xml:space="preserve">ORD-1471</t>
  </si>
  <si>
    <t xml:space="preserve">ORD-1472</t>
  </si>
  <si>
    <t xml:space="preserve">ORD-1473</t>
  </si>
  <si>
    <t xml:space="preserve">ORD-1474</t>
  </si>
  <si>
    <t xml:space="preserve">ORD-1475</t>
  </si>
  <si>
    <t xml:space="preserve">ORD-1476</t>
  </si>
  <si>
    <t xml:space="preserve">ORD-1477</t>
  </si>
  <si>
    <t xml:space="preserve">ORD-1478</t>
  </si>
  <si>
    <t xml:space="preserve">ORD-1479</t>
  </si>
  <si>
    <t xml:space="preserve">ORD-1480</t>
  </si>
  <si>
    <t xml:space="preserve">ORD-1481</t>
  </si>
  <si>
    <t xml:space="preserve">ORD-1482</t>
  </si>
  <si>
    <t xml:space="preserve">ORD-1483</t>
  </si>
  <si>
    <t xml:space="preserve">ORD-1484</t>
  </si>
  <si>
    <t xml:space="preserve">ORD-1485</t>
  </si>
  <si>
    <t xml:space="preserve">ORD-1486</t>
  </si>
  <si>
    <t xml:space="preserve">ORD-1487</t>
  </si>
  <si>
    <t xml:space="preserve">ORD-1488</t>
  </si>
  <si>
    <t xml:space="preserve">ORD-1489</t>
  </si>
  <si>
    <t xml:space="preserve">ORD-1490</t>
  </si>
  <si>
    <t xml:space="preserve">ORD-1491</t>
  </si>
  <si>
    <t xml:space="preserve">ORD-1492</t>
  </si>
  <si>
    <t xml:space="preserve">ORD-1493</t>
  </si>
  <si>
    <t xml:space="preserve">ORD-1494</t>
  </si>
  <si>
    <t xml:space="preserve">ORD-1495</t>
  </si>
  <si>
    <t xml:space="preserve">ORD-1496</t>
  </si>
  <si>
    <t xml:space="preserve">ORD-1497</t>
  </si>
  <si>
    <t xml:space="preserve">ORD-1498</t>
  </si>
  <si>
    <t xml:space="preserve">ORD-1499</t>
  </si>
  <si>
    <t xml:space="preserve">ORD-1500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</si>
</sst>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#,##0"/>
    <numFmt numFmtId="168" formatCode="@"/>
    <numFmt numFmtId="169" formatCode="0%"/>
    <numFmt numFmtId="170" formatCode="yyyy\-mm\-dd"/>
    <numFmt numFmtId="171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FFFFFF"/>
      </patternFill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left" vertical="bottom" textRotation="0" wrapText="false" indent="0" shrinkToFit="true"/>
      <protection locked="true" hidden="false"/>
    </xf>
    <xf numFmtId="166" fontId="7" fillId="2" borderId="0" xfId="0" applyFont="true" applyBorder="false" applyAlignment="true" applyProtection="false">
      <alignment horizontal="left" vertical="bottom" textRotation="0" wrapText="false" indent="0" shrinkToFit="true"/>
      <protection locked="true" hidden="false"/>
    </xf>
    <xf numFmtId="167" fontId="7" fillId="2" borderId="0" xfId="0" applyFont="true" applyBorder="false" applyAlignment="true" applyProtection="false">
      <alignment horizontal="left" vertical="bottom" textRotation="0" wrapText="false" indent="0" shrinkToFit="true"/>
      <protection locked="true" hidden="false"/>
    </xf>
    <xf numFmtId="168" fontId="7" fillId="2" borderId="0" xfId="0" applyFont="true" applyBorder="false" applyAlignment="true" applyProtection="false">
      <alignment horizontal="left" vertical="bottom" textRotation="0" wrapText="false" indent="0" shrinkToFit="tru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3F4F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4F81BD"/>
      <rgbColor rgb="FF003300"/>
      <rgbColor rgb="FF333300"/>
      <rgbColor rgb="FF993300"/>
      <rgbColor rgb="FFC0504D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Dashboard!B39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Dashboard!$B$40:$B$51</c:f>
              <c:numCache>
                <c:formatCode>\$#,##0</c:formatCode>
                <c:ptCount val="12"/>
                <c:pt idx="0">
                  <c:v>61583.35</c:v>
                </c:pt>
                <c:pt idx="1">
                  <c:v>46425.65</c:v>
                </c:pt>
                <c:pt idx="2">
                  <c:v>62138.65</c:v>
                </c:pt>
                <c:pt idx="3">
                  <c:v>60172.55</c:v>
                </c:pt>
                <c:pt idx="4">
                  <c:v>61557.6</c:v>
                </c:pt>
                <c:pt idx="5">
                  <c:v>59143.45</c:v>
                </c:pt>
                <c:pt idx="6">
                  <c:v>64514.65</c:v>
                </c:pt>
                <c:pt idx="7">
                  <c:v>64541.75</c:v>
                </c:pt>
                <c:pt idx="8">
                  <c:v>91449</c:v>
                </c:pt>
                <c:pt idx="9">
                  <c:v>64704.9</c:v>
                </c:pt>
                <c:pt idx="10">
                  <c:v>95169.55</c:v>
                </c:pt>
                <c:pt idx="11">
                  <c:v>93415.2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Dashboard!C39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Dashboard!$C$40:$C$51</c:f>
              <c:numCache>
                <c:formatCode>\$#,##0</c:formatCode>
                <c:ptCount val="12"/>
                <c:pt idx="0">
                  <c:v>16838.85</c:v>
                </c:pt>
                <c:pt idx="1">
                  <c:v>13985.65</c:v>
                </c:pt>
                <c:pt idx="2">
                  <c:v>16960.65</c:v>
                </c:pt>
                <c:pt idx="3">
                  <c:v>16779.05</c:v>
                </c:pt>
                <c:pt idx="4">
                  <c:v>19287.6</c:v>
                </c:pt>
                <c:pt idx="5">
                  <c:v>18183.45</c:v>
                </c:pt>
                <c:pt idx="6">
                  <c:v>20289.65</c:v>
                </c:pt>
                <c:pt idx="7">
                  <c:v>18173.25</c:v>
                </c:pt>
                <c:pt idx="8">
                  <c:v>23823</c:v>
                </c:pt>
                <c:pt idx="9">
                  <c:v>20128.9</c:v>
                </c:pt>
                <c:pt idx="10">
                  <c:v>26831.05</c:v>
                </c:pt>
                <c:pt idx="11">
                  <c:v>26576.7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432783"/>
        <c:axId val="42993553"/>
      </c:lineChart>
      <c:catAx>
        <c:axId val="4943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93553"/>
        <c:crosses val="autoZero"/>
        <c:auto val="1"/>
        <c:lblAlgn val="ctr"/>
        <c:lblOffset val="100"/>
        <c:noMultiLvlLbl val="0"/>
      </c:catAx>
      <c:valAx>
        <c:axId val="42993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327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Dashboard!G39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Dashboard!$F$40:$F$43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Dashboard!$G$40:$G$43</c:f>
              <c:numCache>
                <c:formatCode>\$#,##0</c:formatCode>
                <c:ptCount val="4"/>
                <c:pt idx="0">
                  <c:v>257674.25</c:v>
                </c:pt>
                <c:pt idx="1">
                  <c:v>237399.7</c:v>
                </c:pt>
                <c:pt idx="2">
                  <c:v>191091.85</c:v>
                </c:pt>
                <c:pt idx="3">
                  <c:v>138650.5</c:v>
                </c:pt>
              </c:numCache>
            </c:numRef>
          </c:val>
        </c:ser>
        <c:ser>
          <c:idx val="1"/>
          <c:order val="1"/>
          <c:tx>
            <c:strRef>
              <c:f>Dashboard!H39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Dashboard!$F$40:$F$43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Dashboard!$H$40:$H$43</c:f>
              <c:numCache>
                <c:formatCode>\$#,##0</c:formatCode>
                <c:ptCount val="4"/>
                <c:pt idx="0">
                  <c:v>71414.75</c:v>
                </c:pt>
                <c:pt idx="1">
                  <c:v>70377.2</c:v>
                </c:pt>
                <c:pt idx="2">
                  <c:v>56034.85</c:v>
                </c:pt>
                <c:pt idx="3">
                  <c:v>40031</c:v>
                </c:pt>
              </c:numCache>
            </c:numRef>
          </c:val>
        </c:ser>
        <c:gapWidth val="150"/>
        <c:overlap val="0"/>
        <c:axId val="81716325"/>
        <c:axId val="82558782"/>
      </c:barChart>
      <c:catAx>
        <c:axId val="81716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58782"/>
        <c:crosses val="autoZero"/>
        <c:auto val="1"/>
        <c:lblAlgn val="ctr"/>
        <c:lblOffset val="100"/>
        <c:noMultiLvlLbl val="0"/>
      </c:catAx>
      <c:valAx>
        <c:axId val="82558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163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Dashboard!G47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Dashboard!$F$48:$F$50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Dashboard!$G$48:$G$50</c:f>
              <c:numCache>
                <c:formatCode>\$#,##0</c:formatCode>
                <c:ptCount val="3"/>
                <c:pt idx="0">
                  <c:v>404850</c:v>
                </c:pt>
                <c:pt idx="1">
                  <c:v>122213.5</c:v>
                </c:pt>
                <c:pt idx="2">
                  <c:v>297752.8</c:v>
                </c:pt>
              </c:numCache>
            </c:numRef>
          </c:val>
        </c:ser>
        <c:ser>
          <c:idx val="1"/>
          <c:order val="1"/>
          <c:tx>
            <c:strRef>
              <c:f>Dashboard!H47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Dashboard!$F$48:$F$50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Dashboard!$H$48:$H$50</c:f>
              <c:numCache>
                <c:formatCode>\$#,##0</c:formatCode>
                <c:ptCount val="3"/>
                <c:pt idx="0">
                  <c:v>76084</c:v>
                </c:pt>
                <c:pt idx="1">
                  <c:v>47988.5</c:v>
                </c:pt>
                <c:pt idx="2">
                  <c:v>113785.3</c:v>
                </c:pt>
              </c:numCache>
            </c:numRef>
          </c:val>
        </c:ser>
        <c:gapWidth val="150"/>
        <c:overlap val="0"/>
        <c:axId val="9553226"/>
        <c:axId val="14079643"/>
      </c:barChart>
      <c:catAx>
        <c:axId val="9553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79643"/>
        <c:crosses val="autoZero"/>
        <c:auto val="1"/>
        <c:lblAlgn val="ctr"/>
        <c:lblOffset val="100"/>
        <c:noMultiLvlLbl val="0"/>
      </c:catAx>
      <c:valAx>
        <c:axId val="14079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3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Dashboard!G61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Dashboard!$F$62:$F$70</c:f>
              <c:strCache>
                <c:ptCount val="9"/>
                <c:pt idx="0">
                  <c:v>Smartphone</c:v>
                </c:pt>
                <c:pt idx="1">
                  <c:v>Printer Paper (carton)</c:v>
                </c:pt>
                <c:pt idx="2">
                  <c:v>Laptop</c:v>
                </c:pt>
                <c:pt idx="3">
                  <c:v>Headphones</c:v>
                </c:pt>
                <c:pt idx="4">
                  <c:v>Notebook Pack</c:v>
                </c:pt>
                <c:pt idx="5">
                  <c:v>Pen Set</c:v>
                </c:pt>
                <c:pt idx="6">
                  <c:v>Standing Desk</c:v>
                </c:pt>
                <c:pt idx="7">
                  <c:v>Office Chair</c:v>
                </c:pt>
                <c:pt idx="8">
                  <c:v>Bookshelf</c:v>
                </c:pt>
              </c:strCache>
            </c:strRef>
          </c:cat>
          <c:val>
            <c:numRef>
              <c:f>Dashboard!$G$62:$G$70</c:f>
              <c:numCache>
                <c:formatCode>\$#,##0</c:formatCode>
                <c:ptCount val="9"/>
                <c:pt idx="0">
                  <c:v>176202</c:v>
                </c:pt>
                <c:pt idx="1">
                  <c:v>167255.2</c:v>
                </c:pt>
                <c:pt idx="2">
                  <c:v>139386</c:v>
                </c:pt>
                <c:pt idx="3">
                  <c:v>89262</c:v>
                </c:pt>
                <c:pt idx="4">
                  <c:v>75797.4</c:v>
                </c:pt>
                <c:pt idx="5">
                  <c:v>54700.2</c:v>
                </c:pt>
                <c:pt idx="6">
                  <c:v>49024</c:v>
                </c:pt>
                <c:pt idx="7">
                  <c:v>45585</c:v>
                </c:pt>
                <c:pt idx="8">
                  <c:v>27604.5</c:v>
                </c:pt>
              </c:numCache>
            </c:numRef>
          </c:val>
        </c:ser>
        <c:gapWidth val="150"/>
        <c:overlap val="0"/>
        <c:axId val="58202262"/>
        <c:axId val="65549138"/>
      </c:barChart>
      <c:catAx>
        <c:axId val="5820226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49138"/>
        <c:crosses val="autoZero"/>
        <c:auto val="1"/>
        <c:lblAlgn val="ctr"/>
        <c:lblOffset val="100"/>
        <c:noMultiLvlLbl val="0"/>
      </c:catAx>
      <c:valAx>
        <c:axId val="65549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022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100800</xdr:rowOff>
    </xdr:from>
    <xdr:to>
      <xdr:col>4</xdr:col>
      <xdr:colOff>159480</xdr:colOff>
      <xdr:row>19</xdr:row>
      <xdr:rowOff>97560</xdr:rowOff>
    </xdr:to>
    <xdr:graphicFrame>
      <xdr:nvGraphicFramePr>
        <xdr:cNvPr id="0" name="Chart 1"/>
        <xdr:cNvGraphicFramePr/>
      </xdr:nvGraphicFramePr>
      <xdr:xfrm>
        <a:off x="0" y="1276200"/>
        <a:ext cx="424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</xdr:row>
      <xdr:rowOff>100800</xdr:rowOff>
    </xdr:from>
    <xdr:to>
      <xdr:col>9</xdr:col>
      <xdr:colOff>96480</xdr:colOff>
      <xdr:row>19</xdr:row>
      <xdr:rowOff>97560</xdr:rowOff>
    </xdr:to>
    <xdr:graphicFrame>
      <xdr:nvGraphicFramePr>
        <xdr:cNvPr id="1" name="Chart 2"/>
        <xdr:cNvGraphicFramePr/>
      </xdr:nvGraphicFramePr>
      <xdr:xfrm>
        <a:off x="4299480" y="1276200"/>
        <a:ext cx="460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100800</xdr:rowOff>
    </xdr:from>
    <xdr:to>
      <xdr:col>4</xdr:col>
      <xdr:colOff>159480</xdr:colOff>
      <xdr:row>35</xdr:row>
      <xdr:rowOff>97560</xdr:rowOff>
    </xdr:to>
    <xdr:graphicFrame>
      <xdr:nvGraphicFramePr>
        <xdr:cNvPr id="2" name="Chart 3"/>
        <xdr:cNvGraphicFramePr/>
      </xdr:nvGraphicFramePr>
      <xdr:xfrm>
        <a:off x="0" y="4324320"/>
        <a:ext cx="424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21</xdr:row>
      <xdr:rowOff>100800</xdr:rowOff>
    </xdr:from>
    <xdr:to>
      <xdr:col>9</xdr:col>
      <xdr:colOff>96480</xdr:colOff>
      <xdr:row>35</xdr:row>
      <xdr:rowOff>97560</xdr:rowOff>
    </xdr:to>
    <xdr:graphicFrame>
      <xdr:nvGraphicFramePr>
        <xdr:cNvPr id="3" name="Chart 4"/>
        <xdr:cNvGraphicFramePr/>
      </xdr:nvGraphicFramePr>
      <xdr:xfrm>
        <a:off x="4299480" y="4324320"/>
        <a:ext cx="460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9" min="7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customFormat="false" ht="25.5" hidden="false" customHeight="true" outlineLevel="0" collapsed="false">
      <c r="A5" s="4" t="n">
        <f aca="false">SUM(Data!$K$2:$K$1501)</f>
        <v>824816.3</v>
      </c>
      <c r="B5" s="4" t="n">
        <f aca="false">SUM(Data!$M$2:$M$1501)</f>
        <v>237857.8</v>
      </c>
      <c r="C5" s="5" t="n">
        <f aca="false">IFERROR(B5/A5,0)</f>
        <v>0.288376696726289</v>
      </c>
      <c r="D5" s="6" t="n">
        <f aca="false">COUNTA(Data!$A$2:$A$1501)</f>
        <v>1500</v>
      </c>
      <c r="F5" s="7" t="str">
        <f aca="false">INDEX(F40:F43,MATCH(MAX(G40:G43),G40:G43,0))</f>
        <v>West</v>
      </c>
      <c r="G5" s="4" t="n">
        <f aca="false">IFERROR(A5/D5,0)</f>
        <v>549.877533333333</v>
      </c>
      <c r="H5" s="6" t="n">
        <f aca="false">SUM(Data!$G$2:$G$1501)</f>
        <v>22609</v>
      </c>
      <c r="I5" s="7" t="str">
        <f aca="false">INDEX(F62:F70,MATCH(MAX(G62:G70),G62:G70,0))</f>
        <v>Smartphone</v>
      </c>
    </row>
    <row r="38" customFormat="false" ht="15" hidden="false" customHeight="false" outlineLevel="0" collapsed="false">
      <c r="A38" s="8" t="s">
        <v>10</v>
      </c>
      <c r="F38" s="8" t="s">
        <v>11</v>
      </c>
    </row>
    <row r="39" customFormat="false" ht="15" hidden="false" customHeight="false" outlineLevel="0" collapsed="false">
      <c r="A39" s="9" t="s">
        <v>12</v>
      </c>
      <c r="B39" s="10" t="s">
        <v>13</v>
      </c>
      <c r="C39" s="10" t="s">
        <v>14</v>
      </c>
      <c r="D39" s="10" t="s">
        <v>15</v>
      </c>
      <c r="F39" s="9" t="s">
        <v>16</v>
      </c>
      <c r="G39" s="10" t="s">
        <v>13</v>
      </c>
      <c r="H39" s="10" t="s">
        <v>14</v>
      </c>
      <c r="I39" s="10" t="s">
        <v>15</v>
      </c>
    </row>
    <row r="40" customFormat="false" ht="15" hidden="false" customHeight="false" outlineLevel="0" collapsed="false">
      <c r="A40" s="11" t="s">
        <v>17</v>
      </c>
      <c r="B40" s="12" t="n">
        <f aca="false">SUMIFS(Data!$K$2:$K$1501,Data!$N$2:$N$1501,$A40)</f>
        <v>61583.35</v>
      </c>
      <c r="C40" s="12" t="n">
        <f aca="false">SUMIFS(Data!$M$2:$M$1501,Data!$N$2:$N$1501,$A40)</f>
        <v>16838.85</v>
      </c>
      <c r="D40" s="13" t="n">
        <f aca="false">IFERROR(C40/B40,0)</f>
        <v>0.273431861046858</v>
      </c>
      <c r="F40" s="11" t="s">
        <v>18</v>
      </c>
      <c r="G40" s="12" t="n">
        <f aca="false">SUMIFS(Data!$K$2:$K$1501,Data!$C$2:$C$1501,$F40)</f>
        <v>257674.25</v>
      </c>
      <c r="H40" s="12" t="n">
        <f aca="false">SUMIFS(Data!$M$2:$M$1501,Data!$C$2:$C$1501,$F40)</f>
        <v>71414.75</v>
      </c>
      <c r="I40" s="13" t="n">
        <f aca="false">IFERROR(H40/G40,0)</f>
        <v>0.27715128694466</v>
      </c>
    </row>
    <row r="41" customFormat="false" ht="15" hidden="false" customHeight="false" outlineLevel="0" collapsed="false">
      <c r="A41" s="11" t="s">
        <v>19</v>
      </c>
      <c r="B41" s="12" t="n">
        <f aca="false">SUMIFS(Data!$K$2:$K$1501,Data!$N$2:$N$1501,$A41)</f>
        <v>46425.65</v>
      </c>
      <c r="C41" s="12" t="n">
        <f aca="false">SUMIFS(Data!$M$2:$M$1501,Data!$N$2:$N$1501,$A41)</f>
        <v>13985.65</v>
      </c>
      <c r="D41" s="13" t="n">
        <f aca="false">IFERROR(C41/B41,0)</f>
        <v>0.301248340087861</v>
      </c>
      <c r="F41" s="11" t="s">
        <v>20</v>
      </c>
      <c r="G41" s="12" t="n">
        <f aca="false">SUMIFS(Data!$K$2:$K$1501,Data!$C$2:$C$1501,$F41)</f>
        <v>237399.7</v>
      </c>
      <c r="H41" s="12" t="n">
        <f aca="false">SUMIFS(Data!$M$2:$M$1501,Data!$C$2:$C$1501,$F41)</f>
        <v>70377.2</v>
      </c>
      <c r="I41" s="13" t="n">
        <f aca="false">IFERROR(H41/G41,0)</f>
        <v>0.296450248252209</v>
      </c>
    </row>
    <row r="42" customFormat="false" ht="15" hidden="false" customHeight="false" outlineLevel="0" collapsed="false">
      <c r="A42" s="11" t="s">
        <v>21</v>
      </c>
      <c r="B42" s="12" t="n">
        <f aca="false">SUMIFS(Data!$K$2:$K$1501,Data!$N$2:$N$1501,$A42)</f>
        <v>62138.65</v>
      </c>
      <c r="C42" s="12" t="n">
        <f aca="false">SUMIFS(Data!$M$2:$M$1501,Data!$N$2:$N$1501,$A42)</f>
        <v>16960.65</v>
      </c>
      <c r="D42" s="13" t="n">
        <f aca="false">IFERROR(C42/B42,0)</f>
        <v>0.272948478925757</v>
      </c>
      <c r="F42" s="11" t="s">
        <v>22</v>
      </c>
      <c r="G42" s="12" t="n">
        <f aca="false">SUMIFS(Data!$K$2:$K$1501,Data!$C$2:$C$1501,$F42)</f>
        <v>191091.85</v>
      </c>
      <c r="H42" s="12" t="n">
        <f aca="false">SUMIFS(Data!$M$2:$M$1501,Data!$C$2:$C$1501,$F42)</f>
        <v>56034.85</v>
      </c>
      <c r="I42" s="13" t="n">
        <f aca="false">IFERROR(H42/G42,0)</f>
        <v>0.293235164137037</v>
      </c>
    </row>
    <row r="43" customFormat="false" ht="15" hidden="false" customHeight="false" outlineLevel="0" collapsed="false">
      <c r="A43" s="11" t="s">
        <v>23</v>
      </c>
      <c r="B43" s="12" t="n">
        <f aca="false">SUMIFS(Data!$K$2:$K$1501,Data!$N$2:$N$1501,$A43)</f>
        <v>60172.55</v>
      </c>
      <c r="C43" s="12" t="n">
        <f aca="false">SUMIFS(Data!$M$2:$M$1501,Data!$N$2:$N$1501,$A43)</f>
        <v>16779.05</v>
      </c>
      <c r="D43" s="13" t="n">
        <f aca="false">IFERROR(C43/B43,0)</f>
        <v>0.278848910342008</v>
      </c>
      <c r="F43" s="11" t="s">
        <v>24</v>
      </c>
      <c r="G43" s="12" t="n">
        <f aca="false">SUMIFS(Data!$K$2:$K$1501,Data!$C$2:$C$1501,$F43)</f>
        <v>138650.5</v>
      </c>
      <c r="H43" s="12" t="n">
        <f aca="false">SUMIFS(Data!$M$2:$M$1501,Data!$C$2:$C$1501,$F43)</f>
        <v>40031</v>
      </c>
      <c r="I43" s="13" t="n">
        <f aca="false">IFERROR(H43/G43,0)</f>
        <v>0.288718756874299</v>
      </c>
    </row>
    <row r="44" customFormat="false" ht="15" hidden="false" customHeight="false" outlineLevel="0" collapsed="false">
      <c r="A44" s="11" t="s">
        <v>25</v>
      </c>
      <c r="B44" s="12" t="n">
        <f aca="false">SUMIFS(Data!$K$2:$K$1501,Data!$N$2:$N$1501,$A44)</f>
        <v>61557.6</v>
      </c>
      <c r="C44" s="12" t="n">
        <f aca="false">SUMIFS(Data!$M$2:$M$1501,Data!$N$2:$N$1501,$A44)</f>
        <v>19287.6</v>
      </c>
      <c r="D44" s="13" t="n">
        <f aca="false">IFERROR(C44/B44,0)</f>
        <v>0.313326055596709</v>
      </c>
      <c r="F44" s="14" t="s">
        <v>26</v>
      </c>
      <c r="G44" s="15" t="n">
        <f aca="false">SUM(G40:G43)</f>
        <v>824816.3</v>
      </c>
      <c r="H44" s="15" t="n">
        <f aca="false">SUM(H40:H43)</f>
        <v>237857.8</v>
      </c>
      <c r="I44" s="16" t="n">
        <f aca="false">IFERROR(H44/G44,0)</f>
        <v>0.288376696726289</v>
      </c>
    </row>
    <row r="45" customFormat="false" ht="15" hidden="false" customHeight="false" outlineLevel="0" collapsed="false">
      <c r="A45" s="11" t="s">
        <v>27</v>
      </c>
      <c r="B45" s="12" t="n">
        <f aca="false">SUMIFS(Data!$K$2:$K$1501,Data!$N$2:$N$1501,$A45)</f>
        <v>59143.45</v>
      </c>
      <c r="C45" s="12" t="n">
        <f aca="false">SUMIFS(Data!$M$2:$M$1501,Data!$N$2:$N$1501,$A45)</f>
        <v>18183.45</v>
      </c>
      <c r="D45" s="13" t="n">
        <f aca="false">IFERROR(C45/B45,0)</f>
        <v>0.307446555789356</v>
      </c>
    </row>
    <row r="46" customFormat="false" ht="15" hidden="false" customHeight="false" outlineLevel="0" collapsed="false">
      <c r="A46" s="11" t="s">
        <v>28</v>
      </c>
      <c r="B46" s="12" t="n">
        <f aca="false">SUMIFS(Data!$K$2:$K$1501,Data!$N$2:$N$1501,$A46)</f>
        <v>64514.65</v>
      </c>
      <c r="C46" s="12" t="n">
        <f aca="false">SUMIFS(Data!$M$2:$M$1501,Data!$N$2:$N$1501,$A46)</f>
        <v>20289.65</v>
      </c>
      <c r="D46" s="13" t="n">
        <f aca="false">IFERROR(C46/B46,0)</f>
        <v>0.314496784838792</v>
      </c>
      <c r="F46" s="8" t="s">
        <v>29</v>
      </c>
    </row>
    <row r="47" customFormat="false" ht="15" hidden="false" customHeight="false" outlineLevel="0" collapsed="false">
      <c r="A47" s="11" t="s">
        <v>30</v>
      </c>
      <c r="B47" s="12" t="n">
        <f aca="false">SUMIFS(Data!$K$2:$K$1501,Data!$N$2:$N$1501,$A47)</f>
        <v>64541.75</v>
      </c>
      <c r="C47" s="12" t="n">
        <f aca="false">SUMIFS(Data!$M$2:$M$1501,Data!$N$2:$N$1501,$A47)</f>
        <v>18173.25</v>
      </c>
      <c r="D47" s="13" t="n">
        <f aca="false">IFERROR(C47/B47,0)</f>
        <v>0.28157355510193</v>
      </c>
      <c r="F47" s="9" t="s">
        <v>31</v>
      </c>
      <c r="G47" s="10" t="s">
        <v>13</v>
      </c>
      <c r="H47" s="10" t="s">
        <v>14</v>
      </c>
      <c r="I47" s="10" t="s">
        <v>15</v>
      </c>
    </row>
    <row r="48" customFormat="false" ht="15" hidden="false" customHeight="false" outlineLevel="0" collapsed="false">
      <c r="A48" s="11" t="s">
        <v>32</v>
      </c>
      <c r="B48" s="12" t="n">
        <f aca="false">SUMIFS(Data!$K$2:$K$1501,Data!$N$2:$N$1501,$A48)</f>
        <v>91449</v>
      </c>
      <c r="C48" s="12" t="n">
        <f aca="false">SUMIFS(Data!$M$2:$M$1501,Data!$N$2:$N$1501,$A48)</f>
        <v>23823</v>
      </c>
      <c r="D48" s="13" t="n">
        <f aca="false">IFERROR(C48/B48,0)</f>
        <v>0.260505855722862</v>
      </c>
      <c r="F48" s="11" t="s">
        <v>33</v>
      </c>
      <c r="G48" s="12" t="n">
        <f aca="false">SUMIFS(Data!$K$2:$K$1501,Data!$D$2:$D$1501,$F48)</f>
        <v>404850</v>
      </c>
      <c r="H48" s="12" t="n">
        <f aca="false">SUMIFS(Data!$M$2:$M$1501,Data!$D$2:$D$1501,$F48)</f>
        <v>76084</v>
      </c>
      <c r="I48" s="13" t="n">
        <f aca="false">IFERROR(H48/G48,0)</f>
        <v>0.187931332592318</v>
      </c>
    </row>
    <row r="49" customFormat="false" ht="15" hidden="false" customHeight="false" outlineLevel="0" collapsed="false">
      <c r="A49" s="11" t="s">
        <v>34</v>
      </c>
      <c r="B49" s="12" t="n">
        <f aca="false">SUMIFS(Data!$K$2:$K$1501,Data!$N$2:$N$1501,$A49)</f>
        <v>64704.9</v>
      </c>
      <c r="C49" s="12" t="n">
        <f aca="false">SUMIFS(Data!$M$2:$M$1501,Data!$N$2:$N$1501,$A49)</f>
        <v>20128.9</v>
      </c>
      <c r="D49" s="13" t="n">
        <f aca="false">IFERROR(C49/B49,0)</f>
        <v>0.311087722877247</v>
      </c>
      <c r="F49" s="11" t="s">
        <v>35</v>
      </c>
      <c r="G49" s="12" t="n">
        <f aca="false">SUMIFS(Data!$K$2:$K$1501,Data!$D$2:$D$1501,$F49)</f>
        <v>122213.5</v>
      </c>
      <c r="H49" s="12" t="n">
        <f aca="false">SUMIFS(Data!$M$2:$M$1501,Data!$D$2:$D$1501,$F49)</f>
        <v>47988.5</v>
      </c>
      <c r="I49" s="13" t="n">
        <f aca="false">IFERROR(H49/G49,0)</f>
        <v>0.392661203549526</v>
      </c>
    </row>
    <row r="50" customFormat="false" ht="15" hidden="false" customHeight="false" outlineLevel="0" collapsed="false">
      <c r="A50" s="11" t="s">
        <v>36</v>
      </c>
      <c r="B50" s="12" t="n">
        <f aca="false">SUMIFS(Data!$K$2:$K$1501,Data!$N$2:$N$1501,$A50)</f>
        <v>95169.55</v>
      </c>
      <c r="C50" s="12" t="n">
        <f aca="false">SUMIFS(Data!$M$2:$M$1501,Data!$N$2:$N$1501,$A50)</f>
        <v>26831.05</v>
      </c>
      <c r="D50" s="13" t="n">
        <f aca="false">IFERROR(C50/B50,0)</f>
        <v>0.281928936303681</v>
      </c>
      <c r="F50" s="11" t="s">
        <v>37</v>
      </c>
      <c r="G50" s="12" t="n">
        <f aca="false">SUMIFS(Data!$K$2:$K$1501,Data!$D$2:$D$1501,$F50)</f>
        <v>297752.8</v>
      </c>
      <c r="H50" s="12" t="n">
        <f aca="false">SUMIFS(Data!$M$2:$M$1501,Data!$D$2:$D$1501,$F50)</f>
        <v>113785.3</v>
      </c>
      <c r="I50" s="13" t="n">
        <f aca="false">IFERROR(H50/G50,0)</f>
        <v>0.382146868140283</v>
      </c>
    </row>
    <row r="51" customFormat="false" ht="15" hidden="false" customHeight="false" outlineLevel="0" collapsed="false">
      <c r="A51" s="11" t="s">
        <v>38</v>
      </c>
      <c r="B51" s="12" t="n">
        <f aca="false">SUMIFS(Data!$K$2:$K$1501,Data!$N$2:$N$1501,$A51)</f>
        <v>93415.2</v>
      </c>
      <c r="C51" s="12" t="n">
        <f aca="false">SUMIFS(Data!$M$2:$M$1501,Data!$N$2:$N$1501,$A51)</f>
        <v>26576.7</v>
      </c>
      <c r="D51" s="13" t="n">
        <f aca="false">IFERROR(C51/B51,0)</f>
        <v>0.284500809290137</v>
      </c>
      <c r="F51" s="14" t="s">
        <v>26</v>
      </c>
      <c r="G51" s="15" t="n">
        <f aca="false">SUM(G48:G50)</f>
        <v>824816.3</v>
      </c>
      <c r="H51" s="15" t="n">
        <f aca="false">SUM(H48:H50)</f>
        <v>237857.8</v>
      </c>
      <c r="I51" s="16" t="n">
        <f aca="false">IFERROR(H51/G51,0)</f>
        <v>0.288376696726289</v>
      </c>
    </row>
    <row r="52" customFormat="false" ht="15" hidden="false" customHeight="false" outlineLevel="0" collapsed="false">
      <c r="A52" s="14" t="s">
        <v>26</v>
      </c>
      <c r="B52" s="15" t="n">
        <f aca="false">SUM(B40:B51)</f>
        <v>824816.3</v>
      </c>
      <c r="C52" s="15" t="n">
        <f aca="false">SUM(C40:C51)</f>
        <v>237857.8</v>
      </c>
      <c r="D52" s="16" t="n">
        <f aca="false">IFERROR(C52/B52,0)</f>
        <v>0.288376696726289</v>
      </c>
    </row>
    <row r="53" customFormat="false" ht="15" hidden="false" customHeight="false" outlineLevel="0" collapsed="false">
      <c r="F53" s="8" t="s">
        <v>39</v>
      </c>
    </row>
    <row r="54" customFormat="false" ht="15" hidden="false" customHeight="false" outlineLevel="0" collapsed="false">
      <c r="F54" s="9" t="s">
        <v>40</v>
      </c>
      <c r="G54" s="10" t="s">
        <v>13</v>
      </c>
      <c r="H54" s="10" t="s">
        <v>14</v>
      </c>
      <c r="I54" s="10" t="s">
        <v>15</v>
      </c>
    </row>
    <row r="55" customFormat="false" ht="15" hidden="false" customHeight="false" outlineLevel="0" collapsed="false">
      <c r="A55" s="8" t="s">
        <v>41</v>
      </c>
      <c r="F55" s="11" t="s">
        <v>42</v>
      </c>
      <c r="G55" s="12" t="n">
        <f aca="false">SUMIFS(Data!$K$2:$K$1501,Data!$F$2:$F$1501,$F55)</f>
        <v>345959.15</v>
      </c>
      <c r="H55" s="12" t="n">
        <f aca="false">SUMIFS(Data!$M$2:$M$1501,Data!$F$2:$F$1501,$F55)</f>
        <v>98582.65</v>
      </c>
      <c r="I55" s="13" t="n">
        <f aca="false">IFERROR(H55/G55,0)</f>
        <v>0.284954596518115</v>
      </c>
    </row>
    <row r="56" customFormat="false" ht="15" hidden="false" customHeight="false" outlineLevel="0" collapsed="false">
      <c r="A56" s="9" t="s">
        <v>43</v>
      </c>
      <c r="B56" s="10" t="s">
        <v>5</v>
      </c>
      <c r="C56" s="10" t="s">
        <v>13</v>
      </c>
      <c r="D56" s="10" t="s">
        <v>15</v>
      </c>
      <c r="F56" s="11" t="s">
        <v>44</v>
      </c>
      <c r="G56" s="12" t="n">
        <f aca="false">SUMIFS(Data!$K$2:$K$1501,Data!$F$2:$F$1501,$F56)</f>
        <v>257789.65</v>
      </c>
      <c r="H56" s="12" t="n">
        <f aca="false">SUMIFS(Data!$M$2:$M$1501,Data!$F$2:$F$1501,$F56)</f>
        <v>79574.65</v>
      </c>
      <c r="I56" s="13" t="n">
        <f aca="false">IFERROR(H56/G56,0)</f>
        <v>0.308680546329149</v>
      </c>
    </row>
    <row r="57" customFormat="false" ht="15" hidden="false" customHeight="false" outlineLevel="0" collapsed="false">
      <c r="A57" s="17" t="n">
        <v>0</v>
      </c>
      <c r="B57" s="18" t="n">
        <f aca="false">COUNTIFS(Data!$J$2:$J$1501,$A57)</f>
        <v>459</v>
      </c>
      <c r="C57" s="12" t="n">
        <f aca="false">SUMIFS(Data!$K$2:$K$1501,Data!$J$2:$J$1501,$A57)</f>
        <v>241782</v>
      </c>
      <c r="D57" s="13" t="n">
        <f aca="false">IFERROR(SUMIFS(Data!$M$2:$M$1501,Data!$J$2:$J$1501,$A57)/C57,0)</f>
        <v>0.333552539064116</v>
      </c>
      <c r="F57" s="11" t="s">
        <v>45</v>
      </c>
      <c r="G57" s="12" t="n">
        <f aca="false">SUMIFS(Data!$K$2:$K$1501,Data!$F$2:$F$1501,$F57)</f>
        <v>221067.5</v>
      </c>
      <c r="H57" s="12" t="n">
        <f aca="false">SUMIFS(Data!$M$2:$M$1501,Data!$F$2:$F$1501,$F57)</f>
        <v>59700.5</v>
      </c>
      <c r="I57" s="13" t="n">
        <f aca="false">IFERROR(H57/G57,0)</f>
        <v>0.270055526027118</v>
      </c>
    </row>
    <row r="58" customFormat="false" ht="15" hidden="false" customHeight="false" outlineLevel="0" collapsed="false">
      <c r="A58" s="17" t="n">
        <v>0.05</v>
      </c>
      <c r="B58" s="18" t="n">
        <f aca="false">COUNTIFS(Data!$J$2:$J$1501,$A58)</f>
        <v>370</v>
      </c>
      <c r="C58" s="12" t="n">
        <f aca="false">SUMIFS(Data!$K$2:$K$1501,Data!$J$2:$J$1501,$A58)</f>
        <v>180005.05</v>
      </c>
      <c r="D58" s="13" t="n">
        <f aca="false">IFERROR(SUMIFS(Data!$M$2:$M$1501,Data!$J$2:$J$1501,$A58)/C58,0)</f>
        <v>0.293228162209894</v>
      </c>
      <c r="F58" s="14" t="s">
        <v>26</v>
      </c>
      <c r="G58" s="15" t="n">
        <f aca="false">SUM(G55:G57)</f>
        <v>824816.3</v>
      </c>
      <c r="H58" s="15" t="n">
        <f aca="false">SUM(H55:H57)</f>
        <v>237857.8</v>
      </c>
      <c r="I58" s="16" t="n">
        <f aca="false">IFERROR(H58/G58,0)</f>
        <v>0.288376696726289</v>
      </c>
    </row>
    <row r="59" customFormat="false" ht="15" hidden="false" customHeight="false" outlineLevel="0" collapsed="false">
      <c r="A59" s="17" t="n">
        <v>0.1</v>
      </c>
      <c r="B59" s="18" t="n">
        <f aca="false">COUNTIFS(Data!$J$2:$J$1501,$A59)</f>
        <v>376</v>
      </c>
      <c r="C59" s="12" t="n">
        <f aca="false">SUMIFS(Data!$K$2:$K$1501,Data!$J$2:$J$1501,$A59)</f>
        <v>206964.9</v>
      </c>
      <c r="D59" s="13" t="n">
        <f aca="false">IFERROR(SUMIFS(Data!$M$2:$M$1501,Data!$J$2:$J$1501,$A59)/C59,0)</f>
        <v>0.271163854354048</v>
      </c>
    </row>
    <row r="60" customFormat="false" ht="15" hidden="false" customHeight="false" outlineLevel="0" collapsed="false">
      <c r="A60" s="17" t="n">
        <v>0.15</v>
      </c>
      <c r="B60" s="18" t="n">
        <f aca="false">COUNTIFS(Data!$J$2:$J$1501,$A60)</f>
        <v>217</v>
      </c>
      <c r="C60" s="12" t="n">
        <f aca="false">SUMIFS(Data!$K$2:$K$1501,Data!$J$2:$J$1501,$A60)</f>
        <v>136427.55</v>
      </c>
      <c r="D60" s="13" t="n">
        <f aca="false">IFERROR(SUMIFS(Data!$M$2:$M$1501,Data!$J$2:$J$1501,$A60)/C60,0)</f>
        <v>0.263649460831042</v>
      </c>
      <c r="F60" s="8" t="s">
        <v>46</v>
      </c>
    </row>
    <row r="61" customFormat="false" ht="15" hidden="false" customHeight="false" outlineLevel="0" collapsed="false">
      <c r="A61" s="17" t="n">
        <v>0.2</v>
      </c>
      <c r="B61" s="18" t="n">
        <f aca="false">COUNTIFS(Data!$J$2:$J$1501,$A61)</f>
        <v>78</v>
      </c>
      <c r="C61" s="12" t="n">
        <f aca="false">SUMIFS(Data!$K$2:$K$1501,Data!$J$2:$J$1501,$A61)</f>
        <v>59636.8</v>
      </c>
      <c r="D61" s="13" t="n">
        <f aca="false">IFERROR(SUMIFS(Data!$M$2:$M$1501,Data!$J$2:$J$1501,$A61)/C61,0)</f>
        <v>0.206882327690285</v>
      </c>
      <c r="F61" s="9" t="s">
        <v>47</v>
      </c>
      <c r="G61" s="10" t="s">
        <v>13</v>
      </c>
      <c r="H61" s="10" t="s">
        <v>14</v>
      </c>
      <c r="I61" s="10" t="s">
        <v>15</v>
      </c>
    </row>
    <row r="62" customFormat="false" ht="15" hidden="false" customHeight="false" outlineLevel="0" collapsed="false">
      <c r="F62" s="11" t="s">
        <v>48</v>
      </c>
      <c r="G62" s="12" t="n">
        <f aca="false">SUMIFS(Data!$K$2:$K$1501,Data!$E$2:$E$1501,$F62)</f>
        <v>176202</v>
      </c>
      <c r="H62" s="12" t="n">
        <f aca="false">SUMIFS(Data!$M$2:$M$1501,Data!$E$2:$E$1501,$F62)</f>
        <v>25972</v>
      </c>
      <c r="I62" s="13" t="n">
        <f aca="false">IFERROR(H62/G62,0)</f>
        <v>0.147399007956777</v>
      </c>
    </row>
    <row r="63" customFormat="false" ht="15" hidden="false" customHeight="false" outlineLevel="0" collapsed="false">
      <c r="F63" s="11" t="s">
        <v>49</v>
      </c>
      <c r="G63" s="12" t="n">
        <f aca="false">SUMIFS(Data!$K$2:$K$1501,Data!$E$2:$E$1501,$F63)</f>
        <v>167255.2</v>
      </c>
      <c r="H63" s="12" t="n">
        <f aca="false">SUMIFS(Data!$M$2:$M$1501,Data!$E$2:$E$1501,$F63)</f>
        <v>54647.2</v>
      </c>
      <c r="I63" s="13" t="n">
        <f aca="false">IFERROR(H63/G63,0)</f>
        <v>0.326729452955723</v>
      </c>
    </row>
    <row r="64" customFormat="false" ht="15" hidden="false" customHeight="false" outlineLevel="0" collapsed="false">
      <c r="F64" s="11" t="s">
        <v>50</v>
      </c>
      <c r="G64" s="12" t="n">
        <f aca="false">SUMIFS(Data!$K$2:$K$1501,Data!$E$2:$E$1501,$F64)</f>
        <v>139386</v>
      </c>
      <c r="H64" s="12" t="n">
        <f aca="false">SUMIFS(Data!$M$2:$M$1501,Data!$E$2:$E$1501,$F64)</f>
        <v>24186</v>
      </c>
      <c r="I64" s="13" t="n">
        <f aca="false">IFERROR(H64/G64,0)</f>
        <v>0.173518143859498</v>
      </c>
    </row>
    <row r="65" customFormat="false" ht="15" hidden="false" customHeight="false" outlineLevel="0" collapsed="false">
      <c r="F65" s="11" t="s">
        <v>51</v>
      </c>
      <c r="G65" s="12" t="n">
        <f aca="false">SUMIFS(Data!$K$2:$K$1501,Data!$E$2:$E$1501,$F65)</f>
        <v>89262</v>
      </c>
      <c r="H65" s="12" t="n">
        <f aca="false">SUMIFS(Data!$M$2:$M$1501,Data!$E$2:$E$1501,$F65)</f>
        <v>25926</v>
      </c>
      <c r="I65" s="13" t="n">
        <f aca="false">IFERROR(H65/G65,0)</f>
        <v>0.290448343079922</v>
      </c>
    </row>
    <row r="66" customFormat="false" ht="15" hidden="false" customHeight="false" outlineLevel="0" collapsed="false">
      <c r="F66" s="11" t="s">
        <v>52</v>
      </c>
      <c r="G66" s="12" t="n">
        <f aca="false">SUMIFS(Data!$K$2:$K$1501,Data!$E$2:$E$1501,$F66)</f>
        <v>75797.4</v>
      </c>
      <c r="H66" s="12" t="n">
        <f aca="false">SUMIFS(Data!$M$2:$M$1501,Data!$E$2:$E$1501,$F66)</f>
        <v>34691.4</v>
      </c>
      <c r="I66" s="13" t="n">
        <f aca="false">IFERROR(H66/G66,0)</f>
        <v>0.457685883684665</v>
      </c>
    </row>
    <row r="67" customFormat="false" ht="15" hidden="false" customHeight="false" outlineLevel="0" collapsed="false">
      <c r="F67" s="11" t="s">
        <v>53</v>
      </c>
      <c r="G67" s="12" t="n">
        <f aca="false">SUMIFS(Data!$K$2:$K$1501,Data!$E$2:$E$1501,$F67)</f>
        <v>54700.2</v>
      </c>
      <c r="H67" s="12" t="n">
        <f aca="false">SUMIFS(Data!$M$2:$M$1501,Data!$E$2:$E$1501,$F67)</f>
        <v>24446.7</v>
      </c>
      <c r="I67" s="13" t="n">
        <f aca="false">IFERROR(H67/G67,0)</f>
        <v>0.446921583467702</v>
      </c>
    </row>
    <row r="68" customFormat="false" ht="15" hidden="false" customHeight="false" outlineLevel="0" collapsed="false">
      <c r="F68" s="11" t="s">
        <v>54</v>
      </c>
      <c r="G68" s="12" t="n">
        <f aca="false">SUMIFS(Data!$K$2:$K$1501,Data!$E$2:$E$1501,$F68)</f>
        <v>49024</v>
      </c>
      <c r="H68" s="12" t="n">
        <f aca="false">SUMIFS(Data!$M$2:$M$1501,Data!$E$2:$E$1501,$F68)</f>
        <v>18499</v>
      </c>
      <c r="I68" s="13" t="n">
        <f aca="false">IFERROR(H68/G68,0)</f>
        <v>0.377345789817232</v>
      </c>
    </row>
    <row r="69" customFormat="false" ht="15" hidden="false" customHeight="false" outlineLevel="0" collapsed="false">
      <c r="F69" s="11" t="s">
        <v>55</v>
      </c>
      <c r="G69" s="12" t="n">
        <f aca="false">SUMIFS(Data!$K$2:$K$1501,Data!$E$2:$E$1501,$F69)</f>
        <v>45585</v>
      </c>
      <c r="H69" s="12" t="n">
        <f aca="false">SUMIFS(Data!$M$2:$M$1501,Data!$E$2:$E$1501,$F69)</f>
        <v>18935</v>
      </c>
      <c r="I69" s="13" t="n">
        <f aca="false">IFERROR(H69/G69,0)</f>
        <v>0.415377865525941</v>
      </c>
    </row>
    <row r="70" customFormat="false" ht="15" hidden="false" customHeight="false" outlineLevel="0" collapsed="false">
      <c r="F70" s="11" t="s">
        <v>56</v>
      </c>
      <c r="G70" s="12" t="n">
        <f aca="false">SUMIFS(Data!$K$2:$K$1501,Data!$E$2:$E$1501,$F70)</f>
        <v>27604.5</v>
      </c>
      <c r="H70" s="12" t="n">
        <f aca="false">SUMIFS(Data!$M$2:$M$1501,Data!$E$2:$E$1501,$F70)</f>
        <v>10554.5</v>
      </c>
      <c r="I70" s="13" t="n">
        <f aca="false">IFERROR(H70/G70,0)</f>
        <v>0.382347081091851</v>
      </c>
    </row>
    <row r="71" customFormat="false" ht="15" hidden="false" customHeight="false" outlineLevel="0" collapsed="false">
      <c r="F71" s="14" t="s">
        <v>26</v>
      </c>
      <c r="G71" s="15" t="n">
        <f aca="false">SUM(G62:G70)</f>
        <v>824816.3</v>
      </c>
      <c r="H71" s="15" t="n">
        <f aca="false">SUM(H62:H70)</f>
        <v>237857.8</v>
      </c>
      <c r="I71" s="16" t="n">
        <f aca="false">IFERROR(H71/G71,0)</f>
        <v>0.288376696726289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3" min="11" style="0" width="12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19" t="s">
        <v>57</v>
      </c>
      <c r="B1" s="19" t="s">
        <v>58</v>
      </c>
      <c r="C1" s="19" t="s">
        <v>16</v>
      </c>
      <c r="D1" s="19" t="s">
        <v>31</v>
      </c>
      <c r="E1" s="19" t="s">
        <v>47</v>
      </c>
      <c r="F1" s="19" t="s">
        <v>40</v>
      </c>
      <c r="G1" s="19" t="s">
        <v>59</v>
      </c>
      <c r="H1" s="19" t="s">
        <v>60</v>
      </c>
      <c r="I1" s="19" t="s">
        <v>61</v>
      </c>
      <c r="J1" s="19" t="s">
        <v>43</v>
      </c>
      <c r="K1" s="19" t="s">
        <v>13</v>
      </c>
      <c r="L1" s="19" t="s">
        <v>62</v>
      </c>
      <c r="M1" s="19" t="s">
        <v>14</v>
      </c>
      <c r="N1" s="19" t="s">
        <v>12</v>
      </c>
    </row>
    <row r="2" customFormat="false" ht="15" hidden="false" customHeight="false" outlineLevel="0" collapsed="false">
      <c r="A2" s="11" t="s">
        <v>63</v>
      </c>
      <c r="B2" s="20" t="n">
        <v>45658</v>
      </c>
      <c r="C2" s="11" t="s">
        <v>20</v>
      </c>
      <c r="D2" s="11" t="s">
        <v>33</v>
      </c>
      <c r="E2" s="11" t="s">
        <v>48</v>
      </c>
      <c r="F2" s="11" t="s">
        <v>44</v>
      </c>
      <c r="G2" s="11" t="n">
        <v>1</v>
      </c>
      <c r="H2" s="21" t="n">
        <v>520</v>
      </c>
      <c r="I2" s="21" t="n">
        <v>415</v>
      </c>
      <c r="J2" s="22" t="n">
        <v>0</v>
      </c>
      <c r="K2" s="21" t="n">
        <f aca="false">G2*H2*(1-J2)</f>
        <v>520</v>
      </c>
      <c r="L2" s="21" t="n">
        <f aca="false">G2*I2</f>
        <v>415</v>
      </c>
      <c r="M2" s="21" t="n">
        <f aca="false">K2-L2</f>
        <v>105</v>
      </c>
      <c r="N2" s="11" t="str">
        <f aca="false">TEXT(B2,"mmm")</f>
        <v>Jan</v>
      </c>
    </row>
    <row r="3" customFormat="false" ht="15" hidden="false" customHeight="false" outlineLevel="0" collapsed="false">
      <c r="A3" s="11" t="s">
        <v>64</v>
      </c>
      <c r="B3" s="20" t="n">
        <v>45658</v>
      </c>
      <c r="C3" s="11" t="s">
        <v>20</v>
      </c>
      <c r="D3" s="11" t="s">
        <v>33</v>
      </c>
      <c r="E3" s="11" t="s">
        <v>50</v>
      </c>
      <c r="F3" s="11" t="s">
        <v>42</v>
      </c>
      <c r="G3" s="11" t="n">
        <v>3</v>
      </c>
      <c r="H3" s="21" t="n">
        <v>780</v>
      </c>
      <c r="I3" s="21" t="n">
        <v>600</v>
      </c>
      <c r="J3" s="22" t="n">
        <v>0.05</v>
      </c>
      <c r="K3" s="21" t="n">
        <f aca="false">G3*H3*(1-J3)</f>
        <v>2223</v>
      </c>
      <c r="L3" s="21" t="n">
        <f aca="false">G3*I3</f>
        <v>1800</v>
      </c>
      <c r="M3" s="21" t="n">
        <f aca="false">K3-L3</f>
        <v>423</v>
      </c>
      <c r="N3" s="11" t="str">
        <f aca="false">TEXT(B3,"mmm")</f>
        <v>Jan</v>
      </c>
    </row>
    <row r="4" customFormat="false" ht="15" hidden="false" customHeight="false" outlineLevel="0" collapsed="false">
      <c r="A4" s="11" t="s">
        <v>65</v>
      </c>
      <c r="B4" s="20" t="n">
        <v>45658</v>
      </c>
      <c r="C4" s="11" t="s">
        <v>18</v>
      </c>
      <c r="D4" s="11" t="s">
        <v>33</v>
      </c>
      <c r="E4" s="11" t="s">
        <v>48</v>
      </c>
      <c r="F4" s="11" t="s">
        <v>42</v>
      </c>
      <c r="G4" s="11" t="n">
        <v>3</v>
      </c>
      <c r="H4" s="21" t="n">
        <v>520</v>
      </c>
      <c r="I4" s="21" t="n">
        <v>415</v>
      </c>
      <c r="J4" s="22" t="n">
        <v>0.05</v>
      </c>
      <c r="K4" s="21" t="n">
        <f aca="false">G4*H4*(1-J4)</f>
        <v>1482</v>
      </c>
      <c r="L4" s="21" t="n">
        <f aca="false">G4*I4</f>
        <v>1245</v>
      </c>
      <c r="M4" s="21" t="n">
        <f aca="false">K4-L4</f>
        <v>237</v>
      </c>
      <c r="N4" s="11" t="str">
        <f aca="false">TEXT(B4,"mmm")</f>
        <v>Jan</v>
      </c>
    </row>
    <row r="5" customFormat="false" ht="15" hidden="false" customHeight="false" outlineLevel="0" collapsed="false">
      <c r="A5" s="11" t="s">
        <v>66</v>
      </c>
      <c r="B5" s="20" t="n">
        <v>45658</v>
      </c>
      <c r="C5" s="11" t="s">
        <v>22</v>
      </c>
      <c r="D5" s="11" t="s">
        <v>33</v>
      </c>
      <c r="E5" s="11" t="s">
        <v>51</v>
      </c>
      <c r="F5" s="11" t="s">
        <v>45</v>
      </c>
      <c r="G5" s="11" t="n">
        <v>18</v>
      </c>
      <c r="H5" s="21" t="n">
        <v>90</v>
      </c>
      <c r="I5" s="21" t="n">
        <v>58</v>
      </c>
      <c r="J5" s="22" t="n">
        <v>0.15</v>
      </c>
      <c r="K5" s="21" t="n">
        <f aca="false">G5*H5*(1-J5)</f>
        <v>1377</v>
      </c>
      <c r="L5" s="21" t="n">
        <f aca="false">G5*I5</f>
        <v>1044</v>
      </c>
      <c r="M5" s="21" t="n">
        <f aca="false">K5-L5</f>
        <v>333</v>
      </c>
      <c r="N5" s="11" t="str">
        <f aca="false">TEXT(B5,"mmm")</f>
        <v>Jan</v>
      </c>
    </row>
    <row r="6" customFormat="false" ht="15" hidden="false" customHeight="false" outlineLevel="0" collapsed="false">
      <c r="A6" s="11" t="s">
        <v>67</v>
      </c>
      <c r="B6" s="20" t="n">
        <v>45658</v>
      </c>
      <c r="C6" s="11" t="s">
        <v>22</v>
      </c>
      <c r="D6" s="11" t="s">
        <v>35</v>
      </c>
      <c r="E6" s="11" t="s">
        <v>55</v>
      </c>
      <c r="F6" s="11" t="s">
        <v>42</v>
      </c>
      <c r="G6" s="11" t="n">
        <v>1</v>
      </c>
      <c r="H6" s="21" t="n">
        <v>150</v>
      </c>
      <c r="I6" s="21" t="n">
        <v>82</v>
      </c>
      <c r="J6" s="22" t="n">
        <v>0.05</v>
      </c>
      <c r="K6" s="21" t="n">
        <f aca="false">G6*H6*(1-J6)</f>
        <v>142.5</v>
      </c>
      <c r="L6" s="21" t="n">
        <f aca="false">G6*I6</f>
        <v>82</v>
      </c>
      <c r="M6" s="21" t="n">
        <f aca="false">K6-L6</f>
        <v>60.5</v>
      </c>
      <c r="N6" s="11" t="str">
        <f aca="false">TEXT(B6,"mmm")</f>
        <v>Jan</v>
      </c>
    </row>
    <row r="7" customFormat="false" ht="15" hidden="false" customHeight="false" outlineLevel="0" collapsed="false">
      <c r="A7" s="11" t="s">
        <v>68</v>
      </c>
      <c r="B7" s="20" t="n">
        <v>45659</v>
      </c>
      <c r="C7" s="11" t="s">
        <v>20</v>
      </c>
      <c r="D7" s="11" t="s">
        <v>33</v>
      </c>
      <c r="E7" s="11" t="s">
        <v>48</v>
      </c>
      <c r="F7" s="11" t="s">
        <v>44</v>
      </c>
      <c r="G7" s="11" t="n">
        <v>4</v>
      </c>
      <c r="H7" s="21" t="n">
        <v>520</v>
      </c>
      <c r="I7" s="21" t="n">
        <v>415</v>
      </c>
      <c r="J7" s="22" t="n">
        <v>0</v>
      </c>
      <c r="K7" s="21" t="n">
        <f aca="false">G7*H7*(1-J7)</f>
        <v>2080</v>
      </c>
      <c r="L7" s="21" t="n">
        <f aca="false">G7*I7</f>
        <v>1660</v>
      </c>
      <c r="M7" s="21" t="n">
        <f aca="false">K7-L7</f>
        <v>420</v>
      </c>
      <c r="N7" s="11" t="str">
        <f aca="false">TEXT(B7,"mmm")</f>
        <v>Jan</v>
      </c>
    </row>
    <row r="8" customFormat="false" ht="15" hidden="false" customHeight="false" outlineLevel="0" collapsed="false">
      <c r="A8" s="11" t="s">
        <v>69</v>
      </c>
      <c r="B8" s="20" t="n">
        <v>45659</v>
      </c>
      <c r="C8" s="11" t="s">
        <v>24</v>
      </c>
      <c r="D8" s="11" t="s">
        <v>33</v>
      </c>
      <c r="E8" s="11" t="s">
        <v>51</v>
      </c>
      <c r="F8" s="11" t="s">
        <v>44</v>
      </c>
      <c r="G8" s="11" t="n">
        <v>2</v>
      </c>
      <c r="H8" s="21" t="n">
        <v>90</v>
      </c>
      <c r="I8" s="21" t="n">
        <v>58</v>
      </c>
      <c r="J8" s="22" t="n">
        <v>0.05</v>
      </c>
      <c r="K8" s="21" t="n">
        <f aca="false">G8*H8*(1-J8)</f>
        <v>171</v>
      </c>
      <c r="L8" s="21" t="n">
        <f aca="false">G8*I8</f>
        <v>116</v>
      </c>
      <c r="M8" s="21" t="n">
        <f aca="false">K8-L8</f>
        <v>55</v>
      </c>
      <c r="N8" s="11" t="str">
        <f aca="false">TEXT(B8,"mmm")</f>
        <v>Jan</v>
      </c>
    </row>
    <row r="9" customFormat="false" ht="15" hidden="false" customHeight="false" outlineLevel="0" collapsed="false">
      <c r="A9" s="11" t="s">
        <v>70</v>
      </c>
      <c r="B9" s="20" t="n">
        <v>45659</v>
      </c>
      <c r="C9" s="11" t="s">
        <v>20</v>
      </c>
      <c r="D9" s="11" t="s">
        <v>33</v>
      </c>
      <c r="E9" s="11" t="s">
        <v>48</v>
      </c>
      <c r="F9" s="11" t="s">
        <v>42</v>
      </c>
      <c r="G9" s="11" t="n">
        <v>1</v>
      </c>
      <c r="H9" s="21" t="n">
        <v>520</v>
      </c>
      <c r="I9" s="21" t="n">
        <v>415</v>
      </c>
      <c r="J9" s="22" t="n">
        <v>0.05</v>
      </c>
      <c r="K9" s="21" t="n">
        <f aca="false">G9*H9*(1-J9)</f>
        <v>494</v>
      </c>
      <c r="L9" s="21" t="n">
        <f aca="false">G9*I9</f>
        <v>415</v>
      </c>
      <c r="M9" s="21" t="n">
        <f aca="false">K9-L9</f>
        <v>79</v>
      </c>
      <c r="N9" s="11" t="str">
        <f aca="false">TEXT(B9,"mmm")</f>
        <v>Jan</v>
      </c>
    </row>
    <row r="10" customFormat="false" ht="15" hidden="false" customHeight="false" outlineLevel="0" collapsed="false">
      <c r="A10" s="11" t="s">
        <v>71</v>
      </c>
      <c r="B10" s="20" t="n">
        <v>45659</v>
      </c>
      <c r="C10" s="11" t="s">
        <v>20</v>
      </c>
      <c r="D10" s="11" t="s">
        <v>37</v>
      </c>
      <c r="E10" s="11" t="s">
        <v>52</v>
      </c>
      <c r="F10" s="11" t="s">
        <v>45</v>
      </c>
      <c r="G10" s="11" t="n">
        <v>27</v>
      </c>
      <c r="H10" s="21" t="n">
        <v>12</v>
      </c>
      <c r="I10" s="21" t="n">
        <v>6</v>
      </c>
      <c r="J10" s="22" t="n">
        <v>0.1</v>
      </c>
      <c r="K10" s="21" t="n">
        <f aca="false">G10*H10*(1-J10)</f>
        <v>291.6</v>
      </c>
      <c r="L10" s="21" t="n">
        <f aca="false">G10*I10</f>
        <v>162</v>
      </c>
      <c r="M10" s="21" t="n">
        <f aca="false">K10-L10</f>
        <v>129.6</v>
      </c>
      <c r="N10" s="11" t="str">
        <f aca="false">TEXT(B10,"mmm")</f>
        <v>Jan</v>
      </c>
    </row>
    <row r="11" customFormat="false" ht="15" hidden="false" customHeight="false" outlineLevel="0" collapsed="false">
      <c r="A11" s="11" t="s">
        <v>72</v>
      </c>
      <c r="B11" s="20" t="n">
        <v>45659</v>
      </c>
      <c r="C11" s="11" t="s">
        <v>20</v>
      </c>
      <c r="D11" s="11" t="s">
        <v>37</v>
      </c>
      <c r="E11" s="11" t="s">
        <v>49</v>
      </c>
      <c r="F11" s="11" t="s">
        <v>42</v>
      </c>
      <c r="G11" s="11" t="n">
        <v>18</v>
      </c>
      <c r="H11" s="21" t="n">
        <v>28</v>
      </c>
      <c r="I11" s="21" t="n">
        <v>17</v>
      </c>
      <c r="J11" s="22" t="n">
        <v>0</v>
      </c>
      <c r="K11" s="21" t="n">
        <f aca="false">G11*H11*(1-J11)</f>
        <v>504</v>
      </c>
      <c r="L11" s="21" t="n">
        <f aca="false">G11*I11</f>
        <v>306</v>
      </c>
      <c r="M11" s="21" t="n">
        <f aca="false">K11-L11</f>
        <v>198</v>
      </c>
      <c r="N11" s="11" t="str">
        <f aca="false">TEXT(B11,"mmm")</f>
        <v>Jan</v>
      </c>
    </row>
    <row r="12" customFormat="false" ht="15" hidden="false" customHeight="false" outlineLevel="0" collapsed="false">
      <c r="A12" s="11" t="s">
        <v>73</v>
      </c>
      <c r="B12" s="20" t="n">
        <v>45660</v>
      </c>
      <c r="C12" s="11" t="s">
        <v>18</v>
      </c>
      <c r="D12" s="11" t="s">
        <v>33</v>
      </c>
      <c r="E12" s="11" t="s">
        <v>51</v>
      </c>
      <c r="F12" s="11" t="s">
        <v>44</v>
      </c>
      <c r="G12" s="11" t="n">
        <v>2</v>
      </c>
      <c r="H12" s="21" t="n">
        <v>90</v>
      </c>
      <c r="I12" s="21" t="n">
        <v>58</v>
      </c>
      <c r="J12" s="22" t="n">
        <v>0.05</v>
      </c>
      <c r="K12" s="21" t="n">
        <f aca="false">G12*H12*(1-J12)</f>
        <v>171</v>
      </c>
      <c r="L12" s="21" t="n">
        <f aca="false">G12*I12</f>
        <v>116</v>
      </c>
      <c r="M12" s="21" t="n">
        <f aca="false">K12-L12</f>
        <v>55</v>
      </c>
      <c r="N12" s="11" t="str">
        <f aca="false">TEXT(B12,"mmm")</f>
        <v>Jan</v>
      </c>
    </row>
    <row r="13" customFormat="false" ht="15" hidden="false" customHeight="false" outlineLevel="0" collapsed="false">
      <c r="A13" s="11" t="s">
        <v>74</v>
      </c>
      <c r="B13" s="20" t="n">
        <v>45660</v>
      </c>
      <c r="C13" s="11" t="s">
        <v>18</v>
      </c>
      <c r="D13" s="11" t="s">
        <v>33</v>
      </c>
      <c r="E13" s="11" t="s">
        <v>48</v>
      </c>
      <c r="F13" s="11" t="s">
        <v>42</v>
      </c>
      <c r="G13" s="11" t="n">
        <v>4</v>
      </c>
      <c r="H13" s="21" t="n">
        <v>520</v>
      </c>
      <c r="I13" s="21" t="n">
        <v>415</v>
      </c>
      <c r="J13" s="22" t="n">
        <v>0</v>
      </c>
      <c r="K13" s="21" t="n">
        <f aca="false">G13*H13*(1-J13)</f>
        <v>2080</v>
      </c>
      <c r="L13" s="21" t="n">
        <f aca="false">G13*I13</f>
        <v>1660</v>
      </c>
      <c r="M13" s="21" t="n">
        <f aca="false">K13-L13</f>
        <v>420</v>
      </c>
      <c r="N13" s="11" t="str">
        <f aca="false">TEXT(B13,"mmm")</f>
        <v>Jan</v>
      </c>
    </row>
    <row r="14" customFormat="false" ht="15" hidden="false" customHeight="false" outlineLevel="0" collapsed="false">
      <c r="A14" s="11" t="s">
        <v>75</v>
      </c>
      <c r="B14" s="20" t="n">
        <v>45660</v>
      </c>
      <c r="C14" s="11" t="s">
        <v>24</v>
      </c>
      <c r="D14" s="11" t="s">
        <v>37</v>
      </c>
      <c r="E14" s="11" t="s">
        <v>52</v>
      </c>
      <c r="F14" s="11" t="s">
        <v>45</v>
      </c>
      <c r="G14" s="11" t="n">
        <v>30</v>
      </c>
      <c r="H14" s="21" t="n">
        <v>12</v>
      </c>
      <c r="I14" s="21" t="n">
        <v>6</v>
      </c>
      <c r="J14" s="22" t="n">
        <v>0.2</v>
      </c>
      <c r="K14" s="21" t="n">
        <f aca="false">G14*H14*(1-J14)</f>
        <v>288</v>
      </c>
      <c r="L14" s="21" t="n">
        <f aca="false">G14*I14</f>
        <v>180</v>
      </c>
      <c r="M14" s="21" t="n">
        <f aca="false">K14-L14</f>
        <v>108</v>
      </c>
      <c r="N14" s="11" t="str">
        <f aca="false">TEXT(B14,"mmm")</f>
        <v>Jan</v>
      </c>
    </row>
    <row r="15" customFormat="false" ht="15" hidden="false" customHeight="false" outlineLevel="0" collapsed="false">
      <c r="A15" s="11" t="s">
        <v>76</v>
      </c>
      <c r="B15" s="20" t="n">
        <v>45660</v>
      </c>
      <c r="C15" s="11" t="s">
        <v>22</v>
      </c>
      <c r="D15" s="11" t="s">
        <v>37</v>
      </c>
      <c r="E15" s="11" t="s">
        <v>49</v>
      </c>
      <c r="F15" s="11" t="s">
        <v>45</v>
      </c>
      <c r="G15" s="11" t="n">
        <v>99</v>
      </c>
      <c r="H15" s="21" t="n">
        <v>28</v>
      </c>
      <c r="I15" s="21" t="n">
        <v>17</v>
      </c>
      <c r="J15" s="22" t="n">
        <v>0.15</v>
      </c>
      <c r="K15" s="21" t="n">
        <f aca="false">G15*H15*(1-J15)</f>
        <v>2356.2</v>
      </c>
      <c r="L15" s="21" t="n">
        <f aca="false">G15*I15</f>
        <v>1683</v>
      </c>
      <c r="M15" s="21" t="n">
        <f aca="false">K15-L15</f>
        <v>673.2</v>
      </c>
      <c r="N15" s="11" t="str">
        <f aca="false">TEXT(B15,"mmm")</f>
        <v>Jan</v>
      </c>
    </row>
    <row r="16" customFormat="false" ht="15" hidden="false" customHeight="false" outlineLevel="0" collapsed="false">
      <c r="A16" s="11" t="s">
        <v>77</v>
      </c>
      <c r="B16" s="20" t="n">
        <v>45660</v>
      </c>
      <c r="C16" s="11" t="s">
        <v>20</v>
      </c>
      <c r="D16" s="11" t="s">
        <v>33</v>
      </c>
      <c r="E16" s="11" t="s">
        <v>50</v>
      </c>
      <c r="F16" s="11" t="s">
        <v>42</v>
      </c>
      <c r="G16" s="11" t="n">
        <v>2</v>
      </c>
      <c r="H16" s="21" t="n">
        <v>780</v>
      </c>
      <c r="I16" s="21" t="n">
        <v>600</v>
      </c>
      <c r="J16" s="22" t="n">
        <v>0.15</v>
      </c>
      <c r="K16" s="21" t="n">
        <f aca="false">G16*H16*(1-J16)</f>
        <v>1326</v>
      </c>
      <c r="L16" s="21" t="n">
        <f aca="false">G16*I16</f>
        <v>1200</v>
      </c>
      <c r="M16" s="21" t="n">
        <f aca="false">K16-L16</f>
        <v>126</v>
      </c>
      <c r="N16" s="11" t="str">
        <f aca="false">TEXT(B16,"mmm")</f>
        <v>Jan</v>
      </c>
    </row>
    <row r="17" customFormat="false" ht="15" hidden="false" customHeight="false" outlineLevel="0" collapsed="false">
      <c r="A17" s="11" t="s">
        <v>78</v>
      </c>
      <c r="B17" s="20" t="n">
        <v>45660</v>
      </c>
      <c r="C17" s="11" t="s">
        <v>22</v>
      </c>
      <c r="D17" s="11" t="s">
        <v>35</v>
      </c>
      <c r="E17" s="11" t="s">
        <v>54</v>
      </c>
      <c r="F17" s="11" t="s">
        <v>42</v>
      </c>
      <c r="G17" s="11" t="n">
        <v>2</v>
      </c>
      <c r="H17" s="21" t="n">
        <v>320</v>
      </c>
      <c r="I17" s="21" t="n">
        <v>185</v>
      </c>
      <c r="J17" s="22" t="n">
        <v>0.1</v>
      </c>
      <c r="K17" s="21" t="n">
        <f aca="false">G17*H17*(1-J17)</f>
        <v>576</v>
      </c>
      <c r="L17" s="21" t="n">
        <f aca="false">G17*I17</f>
        <v>370</v>
      </c>
      <c r="M17" s="21" t="n">
        <f aca="false">K17-L17</f>
        <v>206</v>
      </c>
      <c r="N17" s="11" t="str">
        <f aca="false">TEXT(B17,"mmm")</f>
        <v>Jan</v>
      </c>
    </row>
    <row r="18" customFormat="false" ht="15" hidden="false" customHeight="false" outlineLevel="0" collapsed="false">
      <c r="A18" s="11" t="s">
        <v>79</v>
      </c>
      <c r="B18" s="20" t="n">
        <v>45661</v>
      </c>
      <c r="C18" s="11" t="s">
        <v>20</v>
      </c>
      <c r="D18" s="11" t="s">
        <v>37</v>
      </c>
      <c r="E18" s="11" t="s">
        <v>49</v>
      </c>
      <c r="F18" s="11" t="s">
        <v>42</v>
      </c>
      <c r="G18" s="11" t="n">
        <v>25</v>
      </c>
      <c r="H18" s="21" t="n">
        <v>28</v>
      </c>
      <c r="I18" s="21" t="n">
        <v>17</v>
      </c>
      <c r="J18" s="22" t="n">
        <v>0.1</v>
      </c>
      <c r="K18" s="21" t="n">
        <f aca="false">G18*H18*(1-J18)</f>
        <v>630</v>
      </c>
      <c r="L18" s="21" t="n">
        <f aca="false">G18*I18</f>
        <v>425</v>
      </c>
      <c r="M18" s="21" t="n">
        <f aca="false">K18-L18</f>
        <v>205</v>
      </c>
      <c r="N18" s="11" t="str">
        <f aca="false">TEXT(B18,"mmm")</f>
        <v>Jan</v>
      </c>
    </row>
    <row r="19" customFormat="false" ht="15" hidden="false" customHeight="false" outlineLevel="0" collapsed="false">
      <c r="A19" s="11" t="s">
        <v>80</v>
      </c>
      <c r="B19" s="20" t="n">
        <v>45661</v>
      </c>
      <c r="C19" s="11" t="s">
        <v>18</v>
      </c>
      <c r="D19" s="11" t="s">
        <v>33</v>
      </c>
      <c r="E19" s="11" t="s">
        <v>51</v>
      </c>
      <c r="F19" s="11" t="s">
        <v>42</v>
      </c>
      <c r="G19" s="11" t="n">
        <v>3</v>
      </c>
      <c r="H19" s="21" t="n">
        <v>90</v>
      </c>
      <c r="I19" s="21" t="n">
        <v>58</v>
      </c>
      <c r="J19" s="22" t="n">
        <v>0</v>
      </c>
      <c r="K19" s="21" t="n">
        <f aca="false">G19*H19*(1-J19)</f>
        <v>270</v>
      </c>
      <c r="L19" s="21" t="n">
        <f aca="false">G19*I19</f>
        <v>174</v>
      </c>
      <c r="M19" s="21" t="n">
        <f aca="false">K19-L19</f>
        <v>96</v>
      </c>
      <c r="N19" s="11" t="str">
        <f aca="false">TEXT(B19,"mmm")</f>
        <v>Jan</v>
      </c>
    </row>
    <row r="20" customFormat="false" ht="15" hidden="false" customHeight="false" outlineLevel="0" collapsed="false">
      <c r="A20" s="11" t="s">
        <v>81</v>
      </c>
      <c r="B20" s="20" t="n">
        <v>45661</v>
      </c>
      <c r="C20" s="11" t="s">
        <v>20</v>
      </c>
      <c r="D20" s="11" t="s">
        <v>33</v>
      </c>
      <c r="E20" s="11" t="s">
        <v>51</v>
      </c>
      <c r="F20" s="11" t="s">
        <v>44</v>
      </c>
      <c r="G20" s="11" t="n">
        <v>4</v>
      </c>
      <c r="H20" s="21" t="n">
        <v>90</v>
      </c>
      <c r="I20" s="21" t="n">
        <v>58</v>
      </c>
      <c r="J20" s="22" t="n">
        <v>0.1</v>
      </c>
      <c r="K20" s="21" t="n">
        <f aca="false">G20*H20*(1-J20)</f>
        <v>324</v>
      </c>
      <c r="L20" s="21" t="n">
        <f aca="false">G20*I20</f>
        <v>232</v>
      </c>
      <c r="M20" s="21" t="n">
        <f aca="false">K20-L20</f>
        <v>92</v>
      </c>
      <c r="N20" s="11" t="str">
        <f aca="false">TEXT(B20,"mmm")</f>
        <v>Jan</v>
      </c>
    </row>
    <row r="21" customFormat="false" ht="15" hidden="false" customHeight="false" outlineLevel="0" collapsed="false">
      <c r="A21" s="11" t="s">
        <v>82</v>
      </c>
      <c r="B21" s="20" t="n">
        <v>45662</v>
      </c>
      <c r="C21" s="11" t="s">
        <v>20</v>
      </c>
      <c r="D21" s="11" t="s">
        <v>37</v>
      </c>
      <c r="E21" s="11" t="s">
        <v>53</v>
      </c>
      <c r="F21" s="11" t="s">
        <v>42</v>
      </c>
      <c r="G21" s="11" t="n">
        <v>23</v>
      </c>
      <c r="H21" s="21" t="n">
        <v>9</v>
      </c>
      <c r="I21" s="21" t="n">
        <v>4.5</v>
      </c>
      <c r="J21" s="22" t="n">
        <v>0.05</v>
      </c>
      <c r="K21" s="21" t="n">
        <f aca="false">G21*H21*(1-J21)</f>
        <v>196.65</v>
      </c>
      <c r="L21" s="21" t="n">
        <f aca="false">G21*I21</f>
        <v>103.5</v>
      </c>
      <c r="M21" s="21" t="n">
        <f aca="false">K21-L21</f>
        <v>93.15</v>
      </c>
      <c r="N21" s="11" t="str">
        <f aca="false">TEXT(B21,"mmm")</f>
        <v>Jan</v>
      </c>
    </row>
    <row r="22" customFormat="false" ht="15" hidden="false" customHeight="false" outlineLevel="0" collapsed="false">
      <c r="A22" s="11" t="s">
        <v>83</v>
      </c>
      <c r="B22" s="20" t="n">
        <v>45662</v>
      </c>
      <c r="C22" s="11" t="s">
        <v>18</v>
      </c>
      <c r="D22" s="11" t="s">
        <v>35</v>
      </c>
      <c r="E22" s="11" t="s">
        <v>55</v>
      </c>
      <c r="F22" s="11" t="s">
        <v>45</v>
      </c>
      <c r="G22" s="11" t="n">
        <v>4</v>
      </c>
      <c r="H22" s="21" t="n">
        <v>150</v>
      </c>
      <c r="I22" s="21" t="n">
        <v>82</v>
      </c>
      <c r="J22" s="22" t="n">
        <v>0.2</v>
      </c>
      <c r="K22" s="21" t="n">
        <f aca="false">G22*H22*(1-J22)</f>
        <v>480</v>
      </c>
      <c r="L22" s="21" t="n">
        <f aca="false">G22*I22</f>
        <v>328</v>
      </c>
      <c r="M22" s="21" t="n">
        <f aca="false">K22-L22</f>
        <v>152</v>
      </c>
      <c r="N22" s="11" t="str">
        <f aca="false">TEXT(B22,"mmm")</f>
        <v>Jan</v>
      </c>
    </row>
    <row r="23" customFormat="false" ht="15" hidden="false" customHeight="false" outlineLevel="0" collapsed="false">
      <c r="A23" s="11" t="s">
        <v>84</v>
      </c>
      <c r="B23" s="20" t="n">
        <v>45662</v>
      </c>
      <c r="C23" s="11" t="s">
        <v>24</v>
      </c>
      <c r="D23" s="11" t="s">
        <v>33</v>
      </c>
      <c r="E23" s="11" t="s">
        <v>48</v>
      </c>
      <c r="F23" s="11" t="s">
        <v>42</v>
      </c>
      <c r="G23" s="11" t="n">
        <v>1</v>
      </c>
      <c r="H23" s="21" t="n">
        <v>520</v>
      </c>
      <c r="I23" s="21" t="n">
        <v>415</v>
      </c>
      <c r="J23" s="22" t="n">
        <v>0.1</v>
      </c>
      <c r="K23" s="21" t="n">
        <f aca="false">G23*H23*(1-J23)</f>
        <v>468</v>
      </c>
      <c r="L23" s="21" t="n">
        <f aca="false">G23*I23</f>
        <v>415</v>
      </c>
      <c r="M23" s="21" t="n">
        <f aca="false">K23-L23</f>
        <v>53</v>
      </c>
      <c r="N23" s="11" t="str">
        <f aca="false">TEXT(B23,"mmm")</f>
        <v>Jan</v>
      </c>
    </row>
    <row r="24" customFormat="false" ht="15" hidden="false" customHeight="false" outlineLevel="0" collapsed="false">
      <c r="A24" s="11" t="s">
        <v>85</v>
      </c>
      <c r="B24" s="20" t="n">
        <v>45663</v>
      </c>
      <c r="C24" s="11" t="s">
        <v>18</v>
      </c>
      <c r="D24" s="11" t="s">
        <v>37</v>
      </c>
      <c r="E24" s="11" t="s">
        <v>49</v>
      </c>
      <c r="F24" s="11" t="s">
        <v>45</v>
      </c>
      <c r="G24" s="11" t="n">
        <v>66</v>
      </c>
      <c r="H24" s="21" t="n">
        <v>28</v>
      </c>
      <c r="I24" s="21" t="n">
        <v>17</v>
      </c>
      <c r="J24" s="22" t="n">
        <v>0.15</v>
      </c>
      <c r="K24" s="21" t="n">
        <f aca="false">G24*H24*(1-J24)</f>
        <v>1570.8</v>
      </c>
      <c r="L24" s="21" t="n">
        <f aca="false">G24*I24</f>
        <v>1122</v>
      </c>
      <c r="M24" s="21" t="n">
        <f aca="false">K24-L24</f>
        <v>448.8</v>
      </c>
      <c r="N24" s="11" t="str">
        <f aca="false">TEXT(B24,"mmm")</f>
        <v>Jan</v>
      </c>
    </row>
    <row r="25" customFormat="false" ht="15" hidden="false" customHeight="false" outlineLevel="0" collapsed="false">
      <c r="A25" s="11" t="s">
        <v>86</v>
      </c>
      <c r="B25" s="20" t="n">
        <v>45663</v>
      </c>
      <c r="C25" s="11" t="s">
        <v>22</v>
      </c>
      <c r="D25" s="11" t="s">
        <v>35</v>
      </c>
      <c r="E25" s="11" t="s">
        <v>56</v>
      </c>
      <c r="F25" s="11" t="s">
        <v>45</v>
      </c>
      <c r="G25" s="11" t="n">
        <v>1</v>
      </c>
      <c r="H25" s="21" t="n">
        <v>110</v>
      </c>
      <c r="I25" s="21" t="n">
        <v>62</v>
      </c>
      <c r="J25" s="22" t="n">
        <v>0.15</v>
      </c>
      <c r="K25" s="21" t="n">
        <f aca="false">G25*H25*(1-J25)</f>
        <v>93.5</v>
      </c>
      <c r="L25" s="21" t="n">
        <f aca="false">G25*I25</f>
        <v>62</v>
      </c>
      <c r="M25" s="21" t="n">
        <f aca="false">K25-L25</f>
        <v>31.5</v>
      </c>
      <c r="N25" s="11" t="str">
        <f aca="false">TEXT(B25,"mmm")</f>
        <v>Jan</v>
      </c>
    </row>
    <row r="26" customFormat="false" ht="15" hidden="false" customHeight="false" outlineLevel="0" collapsed="false">
      <c r="A26" s="11" t="s">
        <v>87</v>
      </c>
      <c r="B26" s="20" t="n">
        <v>45663</v>
      </c>
      <c r="C26" s="11" t="s">
        <v>24</v>
      </c>
      <c r="D26" s="11" t="s">
        <v>37</v>
      </c>
      <c r="E26" s="11" t="s">
        <v>52</v>
      </c>
      <c r="F26" s="11" t="s">
        <v>45</v>
      </c>
      <c r="G26" s="11" t="n">
        <v>39</v>
      </c>
      <c r="H26" s="21" t="n">
        <v>12</v>
      </c>
      <c r="I26" s="21" t="n">
        <v>6</v>
      </c>
      <c r="J26" s="22" t="n">
        <v>0.1</v>
      </c>
      <c r="K26" s="21" t="n">
        <f aca="false">G26*H26*(1-J26)</f>
        <v>421.2</v>
      </c>
      <c r="L26" s="21" t="n">
        <f aca="false">G26*I26</f>
        <v>234</v>
      </c>
      <c r="M26" s="21" t="n">
        <f aca="false">K26-L26</f>
        <v>187.2</v>
      </c>
      <c r="N26" s="11" t="str">
        <f aca="false">TEXT(B26,"mmm")</f>
        <v>Jan</v>
      </c>
    </row>
    <row r="27" customFormat="false" ht="15" hidden="false" customHeight="false" outlineLevel="0" collapsed="false">
      <c r="A27" s="11" t="s">
        <v>88</v>
      </c>
      <c r="B27" s="20" t="n">
        <v>45663</v>
      </c>
      <c r="C27" s="11" t="s">
        <v>22</v>
      </c>
      <c r="D27" s="11" t="s">
        <v>33</v>
      </c>
      <c r="E27" s="11" t="s">
        <v>51</v>
      </c>
      <c r="F27" s="11" t="s">
        <v>42</v>
      </c>
      <c r="G27" s="11" t="n">
        <v>2</v>
      </c>
      <c r="H27" s="21" t="n">
        <v>90</v>
      </c>
      <c r="I27" s="21" t="n">
        <v>58</v>
      </c>
      <c r="J27" s="22" t="n">
        <v>0</v>
      </c>
      <c r="K27" s="21" t="n">
        <f aca="false">G27*H27*(1-J27)</f>
        <v>180</v>
      </c>
      <c r="L27" s="21" t="n">
        <f aca="false">G27*I27</f>
        <v>116</v>
      </c>
      <c r="M27" s="21" t="n">
        <f aca="false">K27-L27</f>
        <v>64</v>
      </c>
      <c r="N27" s="11" t="str">
        <f aca="false">TEXT(B27,"mmm")</f>
        <v>Jan</v>
      </c>
    </row>
    <row r="28" customFormat="false" ht="15" hidden="false" customHeight="false" outlineLevel="0" collapsed="false">
      <c r="A28" s="11" t="s">
        <v>89</v>
      </c>
      <c r="B28" s="20" t="n">
        <v>45664</v>
      </c>
      <c r="C28" s="11" t="s">
        <v>22</v>
      </c>
      <c r="D28" s="11" t="s">
        <v>35</v>
      </c>
      <c r="E28" s="11" t="s">
        <v>54</v>
      </c>
      <c r="F28" s="11" t="s">
        <v>44</v>
      </c>
      <c r="G28" s="11" t="n">
        <v>2</v>
      </c>
      <c r="H28" s="21" t="n">
        <v>320</v>
      </c>
      <c r="I28" s="21" t="n">
        <v>185</v>
      </c>
      <c r="J28" s="22" t="n">
        <v>0.05</v>
      </c>
      <c r="K28" s="21" t="n">
        <f aca="false">G28*H28*(1-J28)</f>
        <v>608</v>
      </c>
      <c r="L28" s="21" t="n">
        <f aca="false">G28*I28</f>
        <v>370</v>
      </c>
      <c r="M28" s="21" t="n">
        <f aca="false">K28-L28</f>
        <v>238</v>
      </c>
      <c r="N28" s="11" t="str">
        <f aca="false">TEXT(B28,"mmm")</f>
        <v>Jan</v>
      </c>
    </row>
    <row r="29" customFormat="false" ht="15" hidden="false" customHeight="false" outlineLevel="0" collapsed="false">
      <c r="A29" s="11" t="s">
        <v>90</v>
      </c>
      <c r="B29" s="20" t="n">
        <v>45664</v>
      </c>
      <c r="C29" s="11" t="s">
        <v>20</v>
      </c>
      <c r="D29" s="11" t="s">
        <v>35</v>
      </c>
      <c r="E29" s="11" t="s">
        <v>55</v>
      </c>
      <c r="F29" s="11" t="s">
        <v>44</v>
      </c>
      <c r="G29" s="11" t="n">
        <v>4</v>
      </c>
      <c r="H29" s="21" t="n">
        <v>150</v>
      </c>
      <c r="I29" s="21" t="n">
        <v>82</v>
      </c>
      <c r="J29" s="22" t="n">
        <v>0.1</v>
      </c>
      <c r="K29" s="21" t="n">
        <f aca="false">G29*H29*(1-J29)</f>
        <v>540</v>
      </c>
      <c r="L29" s="21" t="n">
        <f aca="false">G29*I29</f>
        <v>328</v>
      </c>
      <c r="M29" s="21" t="n">
        <f aca="false">K29-L29</f>
        <v>212</v>
      </c>
      <c r="N29" s="11" t="str">
        <f aca="false">TEXT(B29,"mmm")</f>
        <v>Jan</v>
      </c>
    </row>
    <row r="30" customFormat="false" ht="15" hidden="false" customHeight="false" outlineLevel="0" collapsed="false">
      <c r="A30" s="11" t="s">
        <v>91</v>
      </c>
      <c r="B30" s="20" t="n">
        <v>45664</v>
      </c>
      <c r="C30" s="11" t="s">
        <v>18</v>
      </c>
      <c r="D30" s="11" t="s">
        <v>33</v>
      </c>
      <c r="E30" s="11" t="s">
        <v>51</v>
      </c>
      <c r="F30" s="11" t="s">
        <v>45</v>
      </c>
      <c r="G30" s="11" t="n">
        <v>15</v>
      </c>
      <c r="H30" s="21" t="n">
        <v>90</v>
      </c>
      <c r="I30" s="21" t="n">
        <v>58</v>
      </c>
      <c r="J30" s="22" t="n">
        <v>0.15</v>
      </c>
      <c r="K30" s="21" t="n">
        <f aca="false">G30*H30*(1-J30)</f>
        <v>1147.5</v>
      </c>
      <c r="L30" s="21" t="n">
        <f aca="false">G30*I30</f>
        <v>870</v>
      </c>
      <c r="M30" s="21" t="n">
        <f aca="false">K30-L30</f>
        <v>277.5</v>
      </c>
      <c r="N30" s="11" t="str">
        <f aca="false">TEXT(B30,"mmm")</f>
        <v>Jan</v>
      </c>
    </row>
    <row r="31" customFormat="false" ht="15" hidden="false" customHeight="false" outlineLevel="0" collapsed="false">
      <c r="A31" s="11" t="s">
        <v>92</v>
      </c>
      <c r="B31" s="20" t="n">
        <v>45664</v>
      </c>
      <c r="C31" s="11" t="s">
        <v>20</v>
      </c>
      <c r="D31" s="11" t="s">
        <v>37</v>
      </c>
      <c r="E31" s="11" t="s">
        <v>49</v>
      </c>
      <c r="F31" s="11" t="s">
        <v>42</v>
      </c>
      <c r="G31" s="11" t="n">
        <v>18</v>
      </c>
      <c r="H31" s="21" t="n">
        <v>28</v>
      </c>
      <c r="I31" s="21" t="n">
        <v>17</v>
      </c>
      <c r="J31" s="22" t="n">
        <v>0.15</v>
      </c>
      <c r="K31" s="21" t="n">
        <f aca="false">G31*H31*(1-J31)</f>
        <v>428.4</v>
      </c>
      <c r="L31" s="21" t="n">
        <f aca="false">G31*I31</f>
        <v>306</v>
      </c>
      <c r="M31" s="21" t="n">
        <f aca="false">K31-L31</f>
        <v>122.4</v>
      </c>
      <c r="N31" s="11" t="str">
        <f aca="false">TEXT(B31,"mmm")</f>
        <v>Jan</v>
      </c>
    </row>
    <row r="32" customFormat="false" ht="15" hidden="false" customHeight="false" outlineLevel="0" collapsed="false">
      <c r="A32" s="11" t="s">
        <v>93</v>
      </c>
      <c r="B32" s="20" t="n">
        <v>45664</v>
      </c>
      <c r="C32" s="11" t="s">
        <v>20</v>
      </c>
      <c r="D32" s="11" t="s">
        <v>37</v>
      </c>
      <c r="E32" s="11" t="s">
        <v>53</v>
      </c>
      <c r="F32" s="11" t="s">
        <v>44</v>
      </c>
      <c r="G32" s="11" t="n">
        <v>36</v>
      </c>
      <c r="H32" s="21" t="n">
        <v>9</v>
      </c>
      <c r="I32" s="21" t="n">
        <v>4.5</v>
      </c>
      <c r="J32" s="22" t="n">
        <v>0.1</v>
      </c>
      <c r="K32" s="21" t="n">
        <f aca="false">G32*H32*(1-J32)</f>
        <v>291.6</v>
      </c>
      <c r="L32" s="21" t="n">
        <f aca="false">G32*I32</f>
        <v>162</v>
      </c>
      <c r="M32" s="21" t="n">
        <f aca="false">K32-L32</f>
        <v>129.6</v>
      </c>
      <c r="N32" s="11" t="str">
        <f aca="false">TEXT(B32,"mmm")</f>
        <v>Jan</v>
      </c>
    </row>
    <row r="33" customFormat="false" ht="15" hidden="false" customHeight="false" outlineLevel="0" collapsed="false">
      <c r="A33" s="11" t="s">
        <v>94</v>
      </c>
      <c r="B33" s="20" t="n">
        <v>45666</v>
      </c>
      <c r="C33" s="11" t="s">
        <v>18</v>
      </c>
      <c r="D33" s="11" t="s">
        <v>37</v>
      </c>
      <c r="E33" s="11" t="s">
        <v>49</v>
      </c>
      <c r="F33" s="11" t="s">
        <v>44</v>
      </c>
      <c r="G33" s="11" t="n">
        <v>5</v>
      </c>
      <c r="H33" s="21" t="n">
        <v>28</v>
      </c>
      <c r="I33" s="21" t="n">
        <v>17</v>
      </c>
      <c r="J33" s="22" t="n">
        <v>0</v>
      </c>
      <c r="K33" s="21" t="n">
        <f aca="false">G33*H33*(1-J33)</f>
        <v>140</v>
      </c>
      <c r="L33" s="21" t="n">
        <f aca="false">G33*I33</f>
        <v>85</v>
      </c>
      <c r="M33" s="21" t="n">
        <f aca="false">K33-L33</f>
        <v>55</v>
      </c>
      <c r="N33" s="11" t="str">
        <f aca="false">TEXT(B33,"mmm")</f>
        <v>Jan</v>
      </c>
    </row>
    <row r="34" customFormat="false" ht="15" hidden="false" customHeight="false" outlineLevel="0" collapsed="false">
      <c r="A34" s="11" t="s">
        <v>95</v>
      </c>
      <c r="B34" s="20" t="n">
        <v>45666</v>
      </c>
      <c r="C34" s="11" t="s">
        <v>18</v>
      </c>
      <c r="D34" s="11" t="s">
        <v>37</v>
      </c>
      <c r="E34" s="11" t="s">
        <v>49</v>
      </c>
      <c r="F34" s="11" t="s">
        <v>44</v>
      </c>
      <c r="G34" s="11" t="n">
        <v>11</v>
      </c>
      <c r="H34" s="21" t="n">
        <v>28</v>
      </c>
      <c r="I34" s="21" t="n">
        <v>17</v>
      </c>
      <c r="J34" s="22" t="n">
        <v>0</v>
      </c>
      <c r="K34" s="21" t="n">
        <f aca="false">G34*H34*(1-J34)</f>
        <v>308</v>
      </c>
      <c r="L34" s="21" t="n">
        <f aca="false">G34*I34</f>
        <v>187</v>
      </c>
      <c r="M34" s="21" t="n">
        <f aca="false">K34-L34</f>
        <v>121</v>
      </c>
      <c r="N34" s="11" t="str">
        <f aca="false">TEXT(B34,"mmm")</f>
        <v>Jan</v>
      </c>
    </row>
    <row r="35" customFormat="false" ht="15" hidden="false" customHeight="false" outlineLevel="0" collapsed="false">
      <c r="A35" s="11" t="s">
        <v>96</v>
      </c>
      <c r="B35" s="20" t="n">
        <v>45666</v>
      </c>
      <c r="C35" s="11" t="s">
        <v>20</v>
      </c>
      <c r="D35" s="11" t="s">
        <v>37</v>
      </c>
      <c r="E35" s="11" t="s">
        <v>52</v>
      </c>
      <c r="F35" s="11" t="s">
        <v>42</v>
      </c>
      <c r="G35" s="11" t="n">
        <v>33</v>
      </c>
      <c r="H35" s="21" t="n">
        <v>12</v>
      </c>
      <c r="I35" s="21" t="n">
        <v>6</v>
      </c>
      <c r="J35" s="22" t="n">
        <v>0</v>
      </c>
      <c r="K35" s="21" t="n">
        <f aca="false">G35*H35*(1-J35)</f>
        <v>396</v>
      </c>
      <c r="L35" s="21" t="n">
        <f aca="false">G35*I35</f>
        <v>198</v>
      </c>
      <c r="M35" s="21" t="n">
        <f aca="false">K35-L35</f>
        <v>198</v>
      </c>
      <c r="N35" s="11" t="str">
        <f aca="false">TEXT(B35,"mmm")</f>
        <v>Jan</v>
      </c>
    </row>
    <row r="36" customFormat="false" ht="15" hidden="false" customHeight="false" outlineLevel="0" collapsed="false">
      <c r="A36" s="11" t="s">
        <v>97</v>
      </c>
      <c r="B36" s="20" t="n">
        <v>45667</v>
      </c>
      <c r="C36" s="11" t="s">
        <v>20</v>
      </c>
      <c r="D36" s="11" t="s">
        <v>33</v>
      </c>
      <c r="E36" s="11" t="s">
        <v>51</v>
      </c>
      <c r="F36" s="11" t="s">
        <v>42</v>
      </c>
      <c r="G36" s="11" t="n">
        <v>1</v>
      </c>
      <c r="H36" s="21" t="n">
        <v>90</v>
      </c>
      <c r="I36" s="21" t="n">
        <v>58</v>
      </c>
      <c r="J36" s="22" t="n">
        <v>0</v>
      </c>
      <c r="K36" s="21" t="n">
        <f aca="false">G36*H36*(1-J36)</f>
        <v>90</v>
      </c>
      <c r="L36" s="21" t="n">
        <f aca="false">G36*I36</f>
        <v>58</v>
      </c>
      <c r="M36" s="21" t="n">
        <f aca="false">K36-L36</f>
        <v>32</v>
      </c>
      <c r="N36" s="11" t="str">
        <f aca="false">TEXT(B36,"mmm")</f>
        <v>Jan</v>
      </c>
    </row>
    <row r="37" customFormat="false" ht="15" hidden="false" customHeight="false" outlineLevel="0" collapsed="false">
      <c r="A37" s="11" t="s">
        <v>98</v>
      </c>
      <c r="B37" s="20" t="n">
        <v>45667</v>
      </c>
      <c r="C37" s="11" t="s">
        <v>18</v>
      </c>
      <c r="D37" s="11" t="s">
        <v>37</v>
      </c>
      <c r="E37" s="11" t="s">
        <v>53</v>
      </c>
      <c r="F37" s="11" t="s">
        <v>42</v>
      </c>
      <c r="G37" s="11" t="n">
        <v>32</v>
      </c>
      <c r="H37" s="21" t="n">
        <v>9</v>
      </c>
      <c r="I37" s="21" t="n">
        <v>4.5</v>
      </c>
      <c r="J37" s="22" t="n">
        <v>0</v>
      </c>
      <c r="K37" s="21" t="n">
        <f aca="false">G37*H37*(1-J37)</f>
        <v>288</v>
      </c>
      <c r="L37" s="21" t="n">
        <f aca="false">G37*I37</f>
        <v>144</v>
      </c>
      <c r="M37" s="21" t="n">
        <f aca="false">K37-L37</f>
        <v>144</v>
      </c>
      <c r="N37" s="11" t="str">
        <f aca="false">TEXT(B37,"mmm")</f>
        <v>Jan</v>
      </c>
    </row>
    <row r="38" customFormat="false" ht="15" hidden="false" customHeight="false" outlineLevel="0" collapsed="false">
      <c r="A38" s="11" t="s">
        <v>99</v>
      </c>
      <c r="B38" s="20" t="n">
        <v>45667</v>
      </c>
      <c r="C38" s="11" t="s">
        <v>18</v>
      </c>
      <c r="D38" s="11" t="s">
        <v>33</v>
      </c>
      <c r="E38" s="11" t="s">
        <v>50</v>
      </c>
      <c r="F38" s="11" t="s">
        <v>45</v>
      </c>
      <c r="G38" s="11" t="n">
        <v>2</v>
      </c>
      <c r="H38" s="21" t="n">
        <v>780</v>
      </c>
      <c r="I38" s="21" t="n">
        <v>600</v>
      </c>
      <c r="J38" s="22" t="n">
        <v>0.2</v>
      </c>
      <c r="K38" s="21" t="n">
        <f aca="false">G38*H38*(1-J38)</f>
        <v>1248</v>
      </c>
      <c r="L38" s="21" t="n">
        <f aca="false">G38*I38</f>
        <v>1200</v>
      </c>
      <c r="M38" s="21" t="n">
        <f aca="false">K38-L38</f>
        <v>48</v>
      </c>
      <c r="N38" s="11" t="str">
        <f aca="false">TEXT(B38,"mmm")</f>
        <v>Jan</v>
      </c>
    </row>
    <row r="39" customFormat="false" ht="15" hidden="false" customHeight="false" outlineLevel="0" collapsed="false">
      <c r="A39" s="11" t="s">
        <v>100</v>
      </c>
      <c r="B39" s="20" t="n">
        <v>45668</v>
      </c>
      <c r="C39" s="11" t="s">
        <v>18</v>
      </c>
      <c r="D39" s="11" t="s">
        <v>35</v>
      </c>
      <c r="E39" s="11" t="s">
        <v>56</v>
      </c>
      <c r="F39" s="11" t="s">
        <v>45</v>
      </c>
      <c r="G39" s="11" t="n">
        <v>3</v>
      </c>
      <c r="H39" s="21" t="n">
        <v>110</v>
      </c>
      <c r="I39" s="21" t="n">
        <v>62</v>
      </c>
      <c r="J39" s="22" t="n">
        <v>0.1</v>
      </c>
      <c r="K39" s="21" t="n">
        <f aca="false">G39*H39*(1-J39)</f>
        <v>297</v>
      </c>
      <c r="L39" s="21" t="n">
        <f aca="false">G39*I39</f>
        <v>186</v>
      </c>
      <c r="M39" s="21" t="n">
        <f aca="false">K39-L39</f>
        <v>111</v>
      </c>
      <c r="N39" s="11" t="str">
        <f aca="false">TEXT(B39,"mmm")</f>
        <v>Jan</v>
      </c>
    </row>
    <row r="40" customFormat="false" ht="15" hidden="false" customHeight="false" outlineLevel="0" collapsed="false">
      <c r="A40" s="11" t="s">
        <v>101</v>
      </c>
      <c r="B40" s="20" t="n">
        <v>45668</v>
      </c>
      <c r="C40" s="11" t="s">
        <v>18</v>
      </c>
      <c r="D40" s="11" t="s">
        <v>33</v>
      </c>
      <c r="E40" s="11" t="s">
        <v>50</v>
      </c>
      <c r="F40" s="11" t="s">
        <v>44</v>
      </c>
      <c r="G40" s="11" t="n">
        <v>1</v>
      </c>
      <c r="H40" s="21" t="n">
        <v>780</v>
      </c>
      <c r="I40" s="21" t="n">
        <v>600</v>
      </c>
      <c r="J40" s="22" t="n">
        <v>0</v>
      </c>
      <c r="K40" s="21" t="n">
        <f aca="false">G40*H40*(1-J40)</f>
        <v>780</v>
      </c>
      <c r="L40" s="21" t="n">
        <f aca="false">G40*I40</f>
        <v>600</v>
      </c>
      <c r="M40" s="21" t="n">
        <f aca="false">K40-L40</f>
        <v>180</v>
      </c>
      <c r="N40" s="11" t="str">
        <f aca="false">TEXT(B40,"mmm")</f>
        <v>Jan</v>
      </c>
    </row>
    <row r="41" customFormat="false" ht="15" hidden="false" customHeight="false" outlineLevel="0" collapsed="false">
      <c r="A41" s="11" t="s">
        <v>102</v>
      </c>
      <c r="B41" s="20" t="n">
        <v>45668</v>
      </c>
      <c r="C41" s="11" t="s">
        <v>24</v>
      </c>
      <c r="D41" s="11" t="s">
        <v>35</v>
      </c>
      <c r="E41" s="11" t="s">
        <v>54</v>
      </c>
      <c r="F41" s="11" t="s">
        <v>42</v>
      </c>
      <c r="G41" s="11" t="n">
        <v>1</v>
      </c>
      <c r="H41" s="21" t="n">
        <v>320</v>
      </c>
      <c r="I41" s="21" t="n">
        <v>185</v>
      </c>
      <c r="J41" s="22" t="n">
        <v>0.05</v>
      </c>
      <c r="K41" s="21" t="n">
        <f aca="false">G41*H41*(1-J41)</f>
        <v>304</v>
      </c>
      <c r="L41" s="21" t="n">
        <f aca="false">G41*I41</f>
        <v>185</v>
      </c>
      <c r="M41" s="21" t="n">
        <f aca="false">K41-L41</f>
        <v>119</v>
      </c>
      <c r="N41" s="11" t="str">
        <f aca="false">TEXT(B41,"mmm")</f>
        <v>Jan</v>
      </c>
    </row>
    <row r="42" customFormat="false" ht="15" hidden="false" customHeight="false" outlineLevel="0" collapsed="false">
      <c r="A42" s="11" t="s">
        <v>103</v>
      </c>
      <c r="B42" s="20" t="n">
        <v>45669</v>
      </c>
      <c r="C42" s="11" t="s">
        <v>22</v>
      </c>
      <c r="D42" s="11" t="s">
        <v>35</v>
      </c>
      <c r="E42" s="11" t="s">
        <v>54</v>
      </c>
      <c r="F42" s="11" t="s">
        <v>42</v>
      </c>
      <c r="G42" s="11" t="n">
        <v>2</v>
      </c>
      <c r="H42" s="21" t="n">
        <v>320</v>
      </c>
      <c r="I42" s="21" t="n">
        <v>185</v>
      </c>
      <c r="J42" s="22" t="n">
        <v>0.1</v>
      </c>
      <c r="K42" s="21" t="n">
        <f aca="false">G42*H42*(1-J42)</f>
        <v>576</v>
      </c>
      <c r="L42" s="21" t="n">
        <f aca="false">G42*I42</f>
        <v>370</v>
      </c>
      <c r="M42" s="21" t="n">
        <f aca="false">K42-L42</f>
        <v>206</v>
      </c>
      <c r="N42" s="11" t="str">
        <f aca="false">TEXT(B42,"mmm")</f>
        <v>Jan</v>
      </c>
    </row>
    <row r="43" customFormat="false" ht="15" hidden="false" customHeight="false" outlineLevel="0" collapsed="false">
      <c r="A43" s="11" t="s">
        <v>104</v>
      </c>
      <c r="B43" s="20" t="n">
        <v>45669</v>
      </c>
      <c r="C43" s="11" t="s">
        <v>22</v>
      </c>
      <c r="D43" s="11" t="s">
        <v>33</v>
      </c>
      <c r="E43" s="11" t="s">
        <v>50</v>
      </c>
      <c r="F43" s="11" t="s">
        <v>44</v>
      </c>
      <c r="G43" s="11" t="n">
        <v>1</v>
      </c>
      <c r="H43" s="21" t="n">
        <v>780</v>
      </c>
      <c r="I43" s="21" t="n">
        <v>600</v>
      </c>
      <c r="J43" s="22" t="n">
        <v>0.1</v>
      </c>
      <c r="K43" s="21" t="n">
        <f aca="false">G43*H43*(1-J43)</f>
        <v>702</v>
      </c>
      <c r="L43" s="21" t="n">
        <f aca="false">G43*I43</f>
        <v>600</v>
      </c>
      <c r="M43" s="21" t="n">
        <f aca="false">K43-L43</f>
        <v>102</v>
      </c>
      <c r="N43" s="11" t="str">
        <f aca="false">TEXT(B43,"mmm")</f>
        <v>Jan</v>
      </c>
    </row>
    <row r="44" customFormat="false" ht="15" hidden="false" customHeight="false" outlineLevel="0" collapsed="false">
      <c r="A44" s="11" t="s">
        <v>105</v>
      </c>
      <c r="B44" s="20" t="n">
        <v>45670</v>
      </c>
      <c r="C44" s="11" t="s">
        <v>20</v>
      </c>
      <c r="D44" s="11" t="s">
        <v>37</v>
      </c>
      <c r="E44" s="11" t="s">
        <v>53</v>
      </c>
      <c r="F44" s="11" t="s">
        <v>45</v>
      </c>
      <c r="G44" s="11" t="n">
        <v>63</v>
      </c>
      <c r="H44" s="21" t="n">
        <v>9</v>
      </c>
      <c r="I44" s="21" t="n">
        <v>4.5</v>
      </c>
      <c r="J44" s="22" t="n">
        <v>0.2</v>
      </c>
      <c r="K44" s="21" t="n">
        <f aca="false">G44*H44*(1-J44)</f>
        <v>453.6</v>
      </c>
      <c r="L44" s="21" t="n">
        <f aca="false">G44*I44</f>
        <v>283.5</v>
      </c>
      <c r="M44" s="21" t="n">
        <f aca="false">K44-L44</f>
        <v>170.1</v>
      </c>
      <c r="N44" s="11" t="str">
        <f aca="false">TEXT(B44,"mmm")</f>
        <v>Jan</v>
      </c>
    </row>
    <row r="45" customFormat="false" ht="15" hidden="false" customHeight="false" outlineLevel="0" collapsed="false">
      <c r="A45" s="11" t="s">
        <v>106</v>
      </c>
      <c r="B45" s="20" t="n">
        <v>45670</v>
      </c>
      <c r="C45" s="11" t="s">
        <v>22</v>
      </c>
      <c r="D45" s="11" t="s">
        <v>33</v>
      </c>
      <c r="E45" s="11" t="s">
        <v>50</v>
      </c>
      <c r="F45" s="11" t="s">
        <v>44</v>
      </c>
      <c r="G45" s="11" t="n">
        <v>1</v>
      </c>
      <c r="H45" s="21" t="n">
        <v>780</v>
      </c>
      <c r="I45" s="21" t="n">
        <v>600</v>
      </c>
      <c r="J45" s="22" t="n">
        <v>0.05</v>
      </c>
      <c r="K45" s="21" t="n">
        <f aca="false">G45*H45*(1-J45)</f>
        <v>741</v>
      </c>
      <c r="L45" s="21" t="n">
        <f aca="false">G45*I45</f>
        <v>600</v>
      </c>
      <c r="M45" s="21" t="n">
        <f aca="false">K45-L45</f>
        <v>141</v>
      </c>
      <c r="N45" s="11" t="str">
        <f aca="false">TEXT(B45,"mmm")</f>
        <v>Jan</v>
      </c>
    </row>
    <row r="46" customFormat="false" ht="15" hidden="false" customHeight="false" outlineLevel="0" collapsed="false">
      <c r="A46" s="11" t="s">
        <v>107</v>
      </c>
      <c r="B46" s="20" t="n">
        <v>45671</v>
      </c>
      <c r="C46" s="11" t="s">
        <v>24</v>
      </c>
      <c r="D46" s="11" t="s">
        <v>35</v>
      </c>
      <c r="E46" s="11" t="s">
        <v>56</v>
      </c>
      <c r="F46" s="11" t="s">
        <v>44</v>
      </c>
      <c r="G46" s="11" t="n">
        <v>2</v>
      </c>
      <c r="H46" s="21" t="n">
        <v>110</v>
      </c>
      <c r="I46" s="21" t="n">
        <v>62</v>
      </c>
      <c r="J46" s="22" t="n">
        <v>0.05</v>
      </c>
      <c r="K46" s="21" t="n">
        <f aca="false">G46*H46*(1-J46)</f>
        <v>209</v>
      </c>
      <c r="L46" s="21" t="n">
        <f aca="false">G46*I46</f>
        <v>124</v>
      </c>
      <c r="M46" s="21" t="n">
        <f aca="false">K46-L46</f>
        <v>85</v>
      </c>
      <c r="N46" s="11" t="str">
        <f aca="false">TEXT(B46,"mmm")</f>
        <v>Jan</v>
      </c>
    </row>
    <row r="47" customFormat="false" ht="15" hidden="false" customHeight="false" outlineLevel="0" collapsed="false">
      <c r="A47" s="11" t="s">
        <v>108</v>
      </c>
      <c r="B47" s="20" t="n">
        <v>45671</v>
      </c>
      <c r="C47" s="11" t="s">
        <v>20</v>
      </c>
      <c r="D47" s="11" t="s">
        <v>37</v>
      </c>
      <c r="E47" s="11" t="s">
        <v>53</v>
      </c>
      <c r="F47" s="11" t="s">
        <v>45</v>
      </c>
      <c r="G47" s="11" t="n">
        <v>102</v>
      </c>
      <c r="H47" s="21" t="n">
        <v>9</v>
      </c>
      <c r="I47" s="21" t="n">
        <v>4.5</v>
      </c>
      <c r="J47" s="22" t="n">
        <v>0.15</v>
      </c>
      <c r="K47" s="21" t="n">
        <f aca="false">G47*H47*(1-J47)</f>
        <v>780.3</v>
      </c>
      <c r="L47" s="21" t="n">
        <f aca="false">G47*I47</f>
        <v>459</v>
      </c>
      <c r="M47" s="21" t="n">
        <f aca="false">K47-L47</f>
        <v>321.3</v>
      </c>
      <c r="N47" s="11" t="str">
        <f aca="false">TEXT(B47,"mmm")</f>
        <v>Jan</v>
      </c>
    </row>
    <row r="48" customFormat="false" ht="15" hidden="false" customHeight="false" outlineLevel="0" collapsed="false">
      <c r="A48" s="11" t="s">
        <v>109</v>
      </c>
      <c r="B48" s="20" t="n">
        <v>45671</v>
      </c>
      <c r="C48" s="11" t="s">
        <v>18</v>
      </c>
      <c r="D48" s="11" t="s">
        <v>37</v>
      </c>
      <c r="E48" s="11" t="s">
        <v>49</v>
      </c>
      <c r="F48" s="11" t="s">
        <v>42</v>
      </c>
      <c r="G48" s="11" t="n">
        <v>32</v>
      </c>
      <c r="H48" s="21" t="n">
        <v>28</v>
      </c>
      <c r="I48" s="21" t="n">
        <v>17</v>
      </c>
      <c r="J48" s="22" t="n">
        <v>0</v>
      </c>
      <c r="K48" s="21" t="n">
        <f aca="false">G48*H48*(1-J48)</f>
        <v>896</v>
      </c>
      <c r="L48" s="21" t="n">
        <f aca="false">G48*I48</f>
        <v>544</v>
      </c>
      <c r="M48" s="21" t="n">
        <f aca="false">K48-L48</f>
        <v>352</v>
      </c>
      <c r="N48" s="11" t="str">
        <f aca="false">TEXT(B48,"mmm")</f>
        <v>Jan</v>
      </c>
    </row>
    <row r="49" customFormat="false" ht="15" hidden="false" customHeight="false" outlineLevel="0" collapsed="false">
      <c r="A49" s="11" t="s">
        <v>110</v>
      </c>
      <c r="B49" s="20" t="n">
        <v>45672</v>
      </c>
      <c r="C49" s="11" t="s">
        <v>22</v>
      </c>
      <c r="D49" s="11" t="s">
        <v>33</v>
      </c>
      <c r="E49" s="11" t="s">
        <v>50</v>
      </c>
      <c r="F49" s="11" t="s">
        <v>44</v>
      </c>
      <c r="G49" s="11" t="n">
        <v>2</v>
      </c>
      <c r="H49" s="21" t="n">
        <v>780</v>
      </c>
      <c r="I49" s="21" t="n">
        <v>600</v>
      </c>
      <c r="J49" s="22" t="n">
        <v>0.05</v>
      </c>
      <c r="K49" s="21" t="n">
        <f aca="false">G49*H49*(1-J49)</f>
        <v>1482</v>
      </c>
      <c r="L49" s="21" t="n">
        <f aca="false">G49*I49</f>
        <v>1200</v>
      </c>
      <c r="M49" s="21" t="n">
        <f aca="false">K49-L49</f>
        <v>282</v>
      </c>
      <c r="N49" s="11" t="str">
        <f aca="false">TEXT(B49,"mmm")</f>
        <v>Jan</v>
      </c>
    </row>
    <row r="50" customFormat="false" ht="15" hidden="false" customHeight="false" outlineLevel="0" collapsed="false">
      <c r="A50" s="11" t="s">
        <v>111</v>
      </c>
      <c r="B50" s="20" t="n">
        <v>45673</v>
      </c>
      <c r="C50" s="11" t="s">
        <v>24</v>
      </c>
      <c r="D50" s="11" t="s">
        <v>33</v>
      </c>
      <c r="E50" s="11" t="s">
        <v>48</v>
      </c>
      <c r="F50" s="11" t="s">
        <v>44</v>
      </c>
      <c r="G50" s="11" t="n">
        <v>1</v>
      </c>
      <c r="H50" s="21" t="n">
        <v>520</v>
      </c>
      <c r="I50" s="21" t="n">
        <v>415</v>
      </c>
      <c r="J50" s="22" t="n">
        <v>0</v>
      </c>
      <c r="K50" s="21" t="n">
        <f aca="false">G50*H50*(1-J50)</f>
        <v>520</v>
      </c>
      <c r="L50" s="21" t="n">
        <f aca="false">G50*I50</f>
        <v>415</v>
      </c>
      <c r="M50" s="21" t="n">
        <f aca="false">K50-L50</f>
        <v>105</v>
      </c>
      <c r="N50" s="11" t="str">
        <f aca="false">TEXT(B50,"mmm")</f>
        <v>Jan</v>
      </c>
    </row>
    <row r="51" customFormat="false" ht="15" hidden="false" customHeight="false" outlineLevel="0" collapsed="false">
      <c r="A51" s="11" t="s">
        <v>112</v>
      </c>
      <c r="B51" s="20" t="n">
        <v>45673</v>
      </c>
      <c r="C51" s="11" t="s">
        <v>24</v>
      </c>
      <c r="D51" s="11" t="s">
        <v>35</v>
      </c>
      <c r="E51" s="11" t="s">
        <v>55</v>
      </c>
      <c r="F51" s="11" t="s">
        <v>42</v>
      </c>
      <c r="G51" s="11" t="n">
        <v>4</v>
      </c>
      <c r="H51" s="21" t="n">
        <v>150</v>
      </c>
      <c r="I51" s="21" t="n">
        <v>82</v>
      </c>
      <c r="J51" s="22" t="n">
        <v>0.1</v>
      </c>
      <c r="K51" s="21" t="n">
        <f aca="false">G51*H51*(1-J51)</f>
        <v>540</v>
      </c>
      <c r="L51" s="21" t="n">
        <f aca="false">G51*I51</f>
        <v>328</v>
      </c>
      <c r="M51" s="21" t="n">
        <f aca="false">K51-L51</f>
        <v>212</v>
      </c>
      <c r="N51" s="11" t="str">
        <f aca="false">TEXT(B51,"mmm")</f>
        <v>Jan</v>
      </c>
    </row>
    <row r="52" customFormat="false" ht="15" hidden="false" customHeight="false" outlineLevel="0" collapsed="false">
      <c r="A52" s="11" t="s">
        <v>113</v>
      </c>
      <c r="B52" s="20" t="n">
        <v>45673</v>
      </c>
      <c r="C52" s="11" t="s">
        <v>24</v>
      </c>
      <c r="D52" s="11" t="s">
        <v>35</v>
      </c>
      <c r="E52" s="11" t="s">
        <v>56</v>
      </c>
      <c r="F52" s="11" t="s">
        <v>42</v>
      </c>
      <c r="G52" s="11" t="n">
        <v>4</v>
      </c>
      <c r="H52" s="21" t="n">
        <v>110</v>
      </c>
      <c r="I52" s="21" t="n">
        <v>62</v>
      </c>
      <c r="J52" s="22" t="n">
        <v>0.15</v>
      </c>
      <c r="K52" s="21" t="n">
        <f aca="false">G52*H52*(1-J52)</f>
        <v>374</v>
      </c>
      <c r="L52" s="21" t="n">
        <f aca="false">G52*I52</f>
        <v>248</v>
      </c>
      <c r="M52" s="21" t="n">
        <f aca="false">K52-L52</f>
        <v>126</v>
      </c>
      <c r="N52" s="11" t="str">
        <f aca="false">TEXT(B52,"mmm")</f>
        <v>Jan</v>
      </c>
    </row>
    <row r="53" customFormat="false" ht="15" hidden="false" customHeight="false" outlineLevel="0" collapsed="false">
      <c r="A53" s="11" t="s">
        <v>114</v>
      </c>
      <c r="B53" s="20" t="n">
        <v>45673</v>
      </c>
      <c r="C53" s="11" t="s">
        <v>18</v>
      </c>
      <c r="D53" s="11" t="s">
        <v>37</v>
      </c>
      <c r="E53" s="11" t="s">
        <v>53</v>
      </c>
      <c r="F53" s="11" t="s">
        <v>44</v>
      </c>
      <c r="G53" s="11" t="n">
        <v>25</v>
      </c>
      <c r="H53" s="21" t="n">
        <v>9</v>
      </c>
      <c r="I53" s="21" t="n">
        <v>4.5</v>
      </c>
      <c r="J53" s="22" t="n">
        <v>0</v>
      </c>
      <c r="K53" s="21" t="n">
        <f aca="false">G53*H53*(1-J53)</f>
        <v>225</v>
      </c>
      <c r="L53" s="21" t="n">
        <f aca="false">G53*I53</f>
        <v>112.5</v>
      </c>
      <c r="M53" s="21" t="n">
        <f aca="false">K53-L53</f>
        <v>112.5</v>
      </c>
      <c r="N53" s="11" t="str">
        <f aca="false">TEXT(B53,"mmm")</f>
        <v>Jan</v>
      </c>
    </row>
    <row r="54" customFormat="false" ht="15" hidden="false" customHeight="false" outlineLevel="0" collapsed="false">
      <c r="A54" s="11" t="s">
        <v>115</v>
      </c>
      <c r="B54" s="20" t="n">
        <v>45673</v>
      </c>
      <c r="C54" s="11" t="s">
        <v>18</v>
      </c>
      <c r="D54" s="11" t="s">
        <v>37</v>
      </c>
      <c r="E54" s="11" t="s">
        <v>53</v>
      </c>
      <c r="F54" s="11" t="s">
        <v>42</v>
      </c>
      <c r="G54" s="11" t="n">
        <v>38</v>
      </c>
      <c r="H54" s="21" t="n">
        <v>9</v>
      </c>
      <c r="I54" s="21" t="n">
        <v>4.5</v>
      </c>
      <c r="J54" s="22" t="n">
        <v>0.15</v>
      </c>
      <c r="K54" s="21" t="n">
        <f aca="false">G54*H54*(1-J54)</f>
        <v>290.7</v>
      </c>
      <c r="L54" s="21" t="n">
        <f aca="false">G54*I54</f>
        <v>171</v>
      </c>
      <c r="M54" s="21" t="n">
        <f aca="false">K54-L54</f>
        <v>119.7</v>
      </c>
      <c r="N54" s="11" t="str">
        <f aca="false">TEXT(B54,"mmm")</f>
        <v>Jan</v>
      </c>
    </row>
    <row r="55" customFormat="false" ht="15" hidden="false" customHeight="false" outlineLevel="0" collapsed="false">
      <c r="A55" s="11" t="s">
        <v>116</v>
      </c>
      <c r="B55" s="20" t="n">
        <v>45673</v>
      </c>
      <c r="C55" s="11" t="s">
        <v>24</v>
      </c>
      <c r="D55" s="11" t="s">
        <v>33</v>
      </c>
      <c r="E55" s="11" t="s">
        <v>51</v>
      </c>
      <c r="F55" s="11" t="s">
        <v>44</v>
      </c>
      <c r="G55" s="11" t="n">
        <v>2</v>
      </c>
      <c r="H55" s="21" t="n">
        <v>90</v>
      </c>
      <c r="I55" s="21" t="n">
        <v>58</v>
      </c>
      <c r="J55" s="22" t="n">
        <v>0.1</v>
      </c>
      <c r="K55" s="21" t="n">
        <f aca="false">G55*H55*(1-J55)</f>
        <v>162</v>
      </c>
      <c r="L55" s="21" t="n">
        <f aca="false">G55*I55</f>
        <v>116</v>
      </c>
      <c r="M55" s="21" t="n">
        <f aca="false">K55-L55</f>
        <v>46</v>
      </c>
      <c r="N55" s="11" t="str">
        <f aca="false">TEXT(B55,"mmm")</f>
        <v>Jan</v>
      </c>
    </row>
    <row r="56" customFormat="false" ht="15" hidden="false" customHeight="false" outlineLevel="0" collapsed="false">
      <c r="A56" s="11" t="s">
        <v>117</v>
      </c>
      <c r="B56" s="20" t="n">
        <v>45674</v>
      </c>
      <c r="C56" s="11" t="s">
        <v>24</v>
      </c>
      <c r="D56" s="11" t="s">
        <v>33</v>
      </c>
      <c r="E56" s="11" t="s">
        <v>48</v>
      </c>
      <c r="F56" s="11" t="s">
        <v>42</v>
      </c>
      <c r="G56" s="11" t="n">
        <v>4</v>
      </c>
      <c r="H56" s="21" t="n">
        <v>520</v>
      </c>
      <c r="I56" s="21" t="n">
        <v>415</v>
      </c>
      <c r="J56" s="22" t="n">
        <v>0</v>
      </c>
      <c r="K56" s="21" t="n">
        <f aca="false">G56*H56*(1-J56)</f>
        <v>2080</v>
      </c>
      <c r="L56" s="21" t="n">
        <f aca="false">G56*I56</f>
        <v>1660</v>
      </c>
      <c r="M56" s="21" t="n">
        <f aca="false">K56-L56</f>
        <v>420</v>
      </c>
      <c r="N56" s="11" t="str">
        <f aca="false">TEXT(B56,"mmm")</f>
        <v>Jan</v>
      </c>
    </row>
    <row r="57" customFormat="false" ht="15" hidden="false" customHeight="false" outlineLevel="0" collapsed="false">
      <c r="A57" s="11" t="s">
        <v>118</v>
      </c>
      <c r="B57" s="20" t="n">
        <v>45674</v>
      </c>
      <c r="C57" s="11" t="s">
        <v>22</v>
      </c>
      <c r="D57" s="11" t="s">
        <v>33</v>
      </c>
      <c r="E57" s="11" t="s">
        <v>51</v>
      </c>
      <c r="F57" s="11" t="s">
        <v>44</v>
      </c>
      <c r="G57" s="11" t="n">
        <v>5</v>
      </c>
      <c r="H57" s="21" t="n">
        <v>90</v>
      </c>
      <c r="I57" s="21" t="n">
        <v>58</v>
      </c>
      <c r="J57" s="22" t="n">
        <v>0.1</v>
      </c>
      <c r="K57" s="21" t="n">
        <f aca="false">G57*H57*(1-J57)</f>
        <v>405</v>
      </c>
      <c r="L57" s="21" t="n">
        <f aca="false">G57*I57</f>
        <v>290</v>
      </c>
      <c r="M57" s="21" t="n">
        <f aca="false">K57-L57</f>
        <v>115</v>
      </c>
      <c r="N57" s="11" t="str">
        <f aca="false">TEXT(B57,"mmm")</f>
        <v>Jan</v>
      </c>
    </row>
    <row r="58" customFormat="false" ht="15" hidden="false" customHeight="false" outlineLevel="0" collapsed="false">
      <c r="A58" s="11" t="s">
        <v>119</v>
      </c>
      <c r="B58" s="20" t="n">
        <v>45674</v>
      </c>
      <c r="C58" s="11" t="s">
        <v>18</v>
      </c>
      <c r="D58" s="11" t="s">
        <v>37</v>
      </c>
      <c r="E58" s="11" t="s">
        <v>49</v>
      </c>
      <c r="F58" s="11" t="s">
        <v>42</v>
      </c>
      <c r="G58" s="11" t="n">
        <v>13</v>
      </c>
      <c r="H58" s="21" t="n">
        <v>28</v>
      </c>
      <c r="I58" s="21" t="n">
        <v>17</v>
      </c>
      <c r="J58" s="22" t="n">
        <v>0.1</v>
      </c>
      <c r="K58" s="21" t="n">
        <f aca="false">G58*H58*(1-J58)</f>
        <v>327.6</v>
      </c>
      <c r="L58" s="21" t="n">
        <f aca="false">G58*I58</f>
        <v>221</v>
      </c>
      <c r="M58" s="21" t="n">
        <f aca="false">K58-L58</f>
        <v>106.6</v>
      </c>
      <c r="N58" s="11" t="str">
        <f aca="false">TEXT(B58,"mmm")</f>
        <v>Jan</v>
      </c>
    </row>
    <row r="59" customFormat="false" ht="15" hidden="false" customHeight="false" outlineLevel="0" collapsed="false">
      <c r="A59" s="11" t="s">
        <v>120</v>
      </c>
      <c r="B59" s="20" t="n">
        <v>45675</v>
      </c>
      <c r="C59" s="11" t="s">
        <v>18</v>
      </c>
      <c r="D59" s="11" t="s">
        <v>33</v>
      </c>
      <c r="E59" s="11" t="s">
        <v>51</v>
      </c>
      <c r="F59" s="11" t="s">
        <v>45</v>
      </c>
      <c r="G59" s="11" t="n">
        <v>6</v>
      </c>
      <c r="H59" s="21" t="n">
        <v>90</v>
      </c>
      <c r="I59" s="21" t="n">
        <v>58</v>
      </c>
      <c r="J59" s="22" t="n">
        <v>0.2</v>
      </c>
      <c r="K59" s="21" t="n">
        <f aca="false">G59*H59*(1-J59)</f>
        <v>432</v>
      </c>
      <c r="L59" s="21" t="n">
        <f aca="false">G59*I59</f>
        <v>348</v>
      </c>
      <c r="M59" s="21" t="n">
        <f aca="false">K59-L59</f>
        <v>84</v>
      </c>
      <c r="N59" s="11" t="str">
        <f aca="false">TEXT(B59,"mmm")</f>
        <v>Jan</v>
      </c>
    </row>
    <row r="60" customFormat="false" ht="15" hidden="false" customHeight="false" outlineLevel="0" collapsed="false">
      <c r="A60" s="11" t="s">
        <v>121</v>
      </c>
      <c r="B60" s="20" t="n">
        <v>45675</v>
      </c>
      <c r="C60" s="11" t="s">
        <v>22</v>
      </c>
      <c r="D60" s="11" t="s">
        <v>37</v>
      </c>
      <c r="E60" s="11" t="s">
        <v>52</v>
      </c>
      <c r="F60" s="11" t="s">
        <v>45</v>
      </c>
      <c r="G60" s="11" t="n">
        <v>12</v>
      </c>
      <c r="H60" s="21" t="n">
        <v>12</v>
      </c>
      <c r="I60" s="21" t="n">
        <v>6</v>
      </c>
      <c r="J60" s="22" t="n">
        <v>0.2</v>
      </c>
      <c r="K60" s="21" t="n">
        <f aca="false">G60*H60*(1-J60)</f>
        <v>115.2</v>
      </c>
      <c r="L60" s="21" t="n">
        <f aca="false">G60*I60</f>
        <v>72</v>
      </c>
      <c r="M60" s="21" t="n">
        <f aca="false">K60-L60</f>
        <v>43.2</v>
      </c>
      <c r="N60" s="11" t="str">
        <f aca="false">TEXT(B60,"mmm")</f>
        <v>Jan</v>
      </c>
    </row>
    <row r="61" customFormat="false" ht="15" hidden="false" customHeight="false" outlineLevel="0" collapsed="false">
      <c r="A61" s="11" t="s">
        <v>122</v>
      </c>
      <c r="B61" s="20" t="n">
        <v>45675</v>
      </c>
      <c r="C61" s="11" t="s">
        <v>24</v>
      </c>
      <c r="D61" s="11" t="s">
        <v>37</v>
      </c>
      <c r="E61" s="11" t="s">
        <v>49</v>
      </c>
      <c r="F61" s="11" t="s">
        <v>42</v>
      </c>
      <c r="G61" s="11" t="n">
        <v>23</v>
      </c>
      <c r="H61" s="21" t="n">
        <v>28</v>
      </c>
      <c r="I61" s="21" t="n">
        <v>17</v>
      </c>
      <c r="J61" s="22" t="n">
        <v>0</v>
      </c>
      <c r="K61" s="21" t="n">
        <f aca="false">G61*H61*(1-J61)</f>
        <v>644</v>
      </c>
      <c r="L61" s="21" t="n">
        <f aca="false">G61*I61</f>
        <v>391</v>
      </c>
      <c r="M61" s="21" t="n">
        <f aca="false">K61-L61</f>
        <v>253</v>
      </c>
      <c r="N61" s="11" t="str">
        <f aca="false">TEXT(B61,"mmm")</f>
        <v>Jan</v>
      </c>
    </row>
    <row r="62" customFormat="false" ht="15" hidden="false" customHeight="false" outlineLevel="0" collapsed="false">
      <c r="A62" s="11" t="s">
        <v>123</v>
      </c>
      <c r="B62" s="20" t="n">
        <v>45675</v>
      </c>
      <c r="C62" s="11" t="s">
        <v>18</v>
      </c>
      <c r="D62" s="11" t="s">
        <v>37</v>
      </c>
      <c r="E62" s="11" t="s">
        <v>53</v>
      </c>
      <c r="F62" s="11" t="s">
        <v>44</v>
      </c>
      <c r="G62" s="11" t="n">
        <v>10</v>
      </c>
      <c r="H62" s="21" t="n">
        <v>9</v>
      </c>
      <c r="I62" s="21" t="n">
        <v>4.5</v>
      </c>
      <c r="J62" s="22" t="n">
        <v>0</v>
      </c>
      <c r="K62" s="21" t="n">
        <f aca="false">G62*H62*(1-J62)</f>
        <v>90</v>
      </c>
      <c r="L62" s="21" t="n">
        <f aca="false">G62*I62</f>
        <v>45</v>
      </c>
      <c r="M62" s="21" t="n">
        <f aca="false">K62-L62</f>
        <v>45</v>
      </c>
      <c r="N62" s="11" t="str">
        <f aca="false">TEXT(B62,"mmm")</f>
        <v>Jan</v>
      </c>
    </row>
    <row r="63" customFormat="false" ht="15" hidden="false" customHeight="false" outlineLevel="0" collapsed="false">
      <c r="A63" s="11" t="s">
        <v>124</v>
      </c>
      <c r="B63" s="20" t="n">
        <v>45676</v>
      </c>
      <c r="C63" s="11" t="s">
        <v>22</v>
      </c>
      <c r="D63" s="11" t="s">
        <v>37</v>
      </c>
      <c r="E63" s="11" t="s">
        <v>53</v>
      </c>
      <c r="F63" s="11" t="s">
        <v>44</v>
      </c>
      <c r="G63" s="11" t="n">
        <v>23</v>
      </c>
      <c r="H63" s="21" t="n">
        <v>9</v>
      </c>
      <c r="I63" s="21" t="n">
        <v>4.5</v>
      </c>
      <c r="J63" s="22" t="n">
        <v>0</v>
      </c>
      <c r="K63" s="21" t="n">
        <f aca="false">G63*H63*(1-J63)</f>
        <v>207</v>
      </c>
      <c r="L63" s="21" t="n">
        <f aca="false">G63*I63</f>
        <v>103.5</v>
      </c>
      <c r="M63" s="21" t="n">
        <f aca="false">K63-L63</f>
        <v>103.5</v>
      </c>
      <c r="N63" s="11" t="str">
        <f aca="false">TEXT(B63,"mmm")</f>
        <v>Jan</v>
      </c>
    </row>
    <row r="64" customFormat="false" ht="15" hidden="false" customHeight="false" outlineLevel="0" collapsed="false">
      <c r="A64" s="11" t="s">
        <v>125</v>
      </c>
      <c r="B64" s="20" t="n">
        <v>45676</v>
      </c>
      <c r="C64" s="11" t="s">
        <v>22</v>
      </c>
      <c r="D64" s="11" t="s">
        <v>33</v>
      </c>
      <c r="E64" s="11" t="s">
        <v>51</v>
      </c>
      <c r="F64" s="11" t="s">
        <v>42</v>
      </c>
      <c r="G64" s="11" t="n">
        <v>5</v>
      </c>
      <c r="H64" s="21" t="n">
        <v>90</v>
      </c>
      <c r="I64" s="21" t="n">
        <v>58</v>
      </c>
      <c r="J64" s="22" t="n">
        <v>0.15</v>
      </c>
      <c r="K64" s="21" t="n">
        <f aca="false">G64*H64*(1-J64)</f>
        <v>382.5</v>
      </c>
      <c r="L64" s="21" t="n">
        <f aca="false">G64*I64</f>
        <v>290</v>
      </c>
      <c r="M64" s="21" t="n">
        <f aca="false">K64-L64</f>
        <v>92.5</v>
      </c>
      <c r="N64" s="11" t="str">
        <f aca="false">TEXT(B64,"mmm")</f>
        <v>Jan</v>
      </c>
    </row>
    <row r="65" customFormat="false" ht="15" hidden="false" customHeight="false" outlineLevel="0" collapsed="false">
      <c r="A65" s="11" t="s">
        <v>126</v>
      </c>
      <c r="B65" s="20" t="n">
        <v>45677</v>
      </c>
      <c r="C65" s="11" t="s">
        <v>22</v>
      </c>
      <c r="D65" s="11" t="s">
        <v>37</v>
      </c>
      <c r="E65" s="11" t="s">
        <v>49</v>
      </c>
      <c r="F65" s="11" t="s">
        <v>44</v>
      </c>
      <c r="G65" s="11" t="n">
        <v>4</v>
      </c>
      <c r="H65" s="21" t="n">
        <v>28</v>
      </c>
      <c r="I65" s="21" t="n">
        <v>17</v>
      </c>
      <c r="J65" s="22" t="n">
        <v>0.05</v>
      </c>
      <c r="K65" s="21" t="n">
        <f aca="false">G65*H65*(1-J65)</f>
        <v>106.4</v>
      </c>
      <c r="L65" s="21" t="n">
        <f aca="false">G65*I65</f>
        <v>68</v>
      </c>
      <c r="M65" s="21" t="n">
        <f aca="false">K65-L65</f>
        <v>38.4</v>
      </c>
      <c r="N65" s="11" t="str">
        <f aca="false">TEXT(B65,"mmm")</f>
        <v>Jan</v>
      </c>
    </row>
    <row r="66" customFormat="false" ht="15" hidden="false" customHeight="false" outlineLevel="0" collapsed="false">
      <c r="A66" s="11" t="s">
        <v>127</v>
      </c>
      <c r="B66" s="20" t="n">
        <v>45677</v>
      </c>
      <c r="C66" s="11" t="s">
        <v>22</v>
      </c>
      <c r="D66" s="11" t="s">
        <v>33</v>
      </c>
      <c r="E66" s="11" t="s">
        <v>51</v>
      </c>
      <c r="F66" s="11" t="s">
        <v>45</v>
      </c>
      <c r="G66" s="11" t="n">
        <v>6</v>
      </c>
      <c r="H66" s="21" t="n">
        <v>90</v>
      </c>
      <c r="I66" s="21" t="n">
        <v>58</v>
      </c>
      <c r="J66" s="22" t="n">
        <v>0.15</v>
      </c>
      <c r="K66" s="21" t="n">
        <f aca="false">G66*H66*(1-J66)</f>
        <v>459</v>
      </c>
      <c r="L66" s="21" t="n">
        <f aca="false">G66*I66</f>
        <v>348</v>
      </c>
      <c r="M66" s="21" t="n">
        <f aca="false">K66-L66</f>
        <v>111</v>
      </c>
      <c r="N66" s="11" t="str">
        <f aca="false">TEXT(B66,"mmm")</f>
        <v>Jan</v>
      </c>
    </row>
    <row r="67" customFormat="false" ht="15" hidden="false" customHeight="false" outlineLevel="0" collapsed="false">
      <c r="A67" s="11" t="s">
        <v>128</v>
      </c>
      <c r="B67" s="20" t="n">
        <v>45678</v>
      </c>
      <c r="C67" s="11" t="s">
        <v>22</v>
      </c>
      <c r="D67" s="11" t="s">
        <v>33</v>
      </c>
      <c r="E67" s="11" t="s">
        <v>48</v>
      </c>
      <c r="F67" s="11" t="s">
        <v>42</v>
      </c>
      <c r="G67" s="11" t="n">
        <v>4</v>
      </c>
      <c r="H67" s="21" t="n">
        <v>520</v>
      </c>
      <c r="I67" s="21" t="n">
        <v>415</v>
      </c>
      <c r="J67" s="22" t="n">
        <v>0</v>
      </c>
      <c r="K67" s="21" t="n">
        <f aca="false">G67*H67*(1-J67)</f>
        <v>2080</v>
      </c>
      <c r="L67" s="21" t="n">
        <f aca="false">G67*I67</f>
        <v>1660</v>
      </c>
      <c r="M67" s="21" t="n">
        <f aca="false">K67-L67</f>
        <v>420</v>
      </c>
      <c r="N67" s="11" t="str">
        <f aca="false">TEXT(B67,"mmm")</f>
        <v>Jan</v>
      </c>
    </row>
    <row r="68" customFormat="false" ht="15" hidden="false" customHeight="false" outlineLevel="0" collapsed="false">
      <c r="A68" s="11" t="s">
        <v>129</v>
      </c>
      <c r="B68" s="20" t="n">
        <v>45678</v>
      </c>
      <c r="C68" s="11" t="s">
        <v>20</v>
      </c>
      <c r="D68" s="11" t="s">
        <v>35</v>
      </c>
      <c r="E68" s="11" t="s">
        <v>55</v>
      </c>
      <c r="F68" s="11" t="s">
        <v>42</v>
      </c>
      <c r="G68" s="11" t="n">
        <v>4</v>
      </c>
      <c r="H68" s="21" t="n">
        <v>150</v>
      </c>
      <c r="I68" s="21" t="n">
        <v>82</v>
      </c>
      <c r="J68" s="22" t="n">
        <v>0.1</v>
      </c>
      <c r="K68" s="21" t="n">
        <f aca="false">G68*H68*(1-J68)</f>
        <v>540</v>
      </c>
      <c r="L68" s="21" t="n">
        <f aca="false">G68*I68</f>
        <v>328</v>
      </c>
      <c r="M68" s="21" t="n">
        <f aca="false">K68-L68</f>
        <v>212</v>
      </c>
      <c r="N68" s="11" t="str">
        <f aca="false">TEXT(B68,"mmm")</f>
        <v>Jan</v>
      </c>
    </row>
    <row r="69" customFormat="false" ht="15" hidden="false" customHeight="false" outlineLevel="0" collapsed="false">
      <c r="A69" s="11" t="s">
        <v>130</v>
      </c>
      <c r="B69" s="20" t="n">
        <v>45678</v>
      </c>
      <c r="C69" s="11" t="s">
        <v>20</v>
      </c>
      <c r="D69" s="11" t="s">
        <v>35</v>
      </c>
      <c r="E69" s="11" t="s">
        <v>56</v>
      </c>
      <c r="F69" s="11" t="s">
        <v>44</v>
      </c>
      <c r="G69" s="11" t="n">
        <v>3</v>
      </c>
      <c r="H69" s="21" t="n">
        <v>110</v>
      </c>
      <c r="I69" s="21" t="n">
        <v>62</v>
      </c>
      <c r="J69" s="22" t="n">
        <v>0.1</v>
      </c>
      <c r="K69" s="21" t="n">
        <f aca="false">G69*H69*(1-J69)</f>
        <v>297</v>
      </c>
      <c r="L69" s="21" t="n">
        <f aca="false">G69*I69</f>
        <v>186</v>
      </c>
      <c r="M69" s="21" t="n">
        <f aca="false">K69-L69</f>
        <v>111</v>
      </c>
      <c r="N69" s="11" t="str">
        <f aca="false">TEXT(B69,"mmm")</f>
        <v>Jan</v>
      </c>
    </row>
    <row r="70" customFormat="false" ht="15" hidden="false" customHeight="false" outlineLevel="0" collapsed="false">
      <c r="A70" s="11" t="s">
        <v>131</v>
      </c>
      <c r="B70" s="20" t="n">
        <v>45678</v>
      </c>
      <c r="C70" s="11" t="s">
        <v>24</v>
      </c>
      <c r="D70" s="11" t="s">
        <v>37</v>
      </c>
      <c r="E70" s="11" t="s">
        <v>49</v>
      </c>
      <c r="F70" s="11" t="s">
        <v>42</v>
      </c>
      <c r="G70" s="11" t="n">
        <v>24</v>
      </c>
      <c r="H70" s="21" t="n">
        <v>28</v>
      </c>
      <c r="I70" s="21" t="n">
        <v>17</v>
      </c>
      <c r="J70" s="22" t="n">
        <v>0.15</v>
      </c>
      <c r="K70" s="21" t="n">
        <f aca="false">G70*H70*(1-J70)</f>
        <v>571.2</v>
      </c>
      <c r="L70" s="21" t="n">
        <f aca="false">G70*I70</f>
        <v>408</v>
      </c>
      <c r="M70" s="21" t="n">
        <f aca="false">K70-L70</f>
        <v>163.2</v>
      </c>
      <c r="N70" s="11" t="str">
        <f aca="false">TEXT(B70,"mmm")</f>
        <v>Jan</v>
      </c>
    </row>
    <row r="71" customFormat="false" ht="15" hidden="false" customHeight="false" outlineLevel="0" collapsed="false">
      <c r="A71" s="11" t="s">
        <v>132</v>
      </c>
      <c r="B71" s="20" t="n">
        <v>45678</v>
      </c>
      <c r="C71" s="11" t="s">
        <v>18</v>
      </c>
      <c r="D71" s="11" t="s">
        <v>37</v>
      </c>
      <c r="E71" s="11" t="s">
        <v>52</v>
      </c>
      <c r="F71" s="11" t="s">
        <v>44</v>
      </c>
      <c r="G71" s="11" t="n">
        <v>36</v>
      </c>
      <c r="H71" s="21" t="n">
        <v>12</v>
      </c>
      <c r="I71" s="21" t="n">
        <v>6</v>
      </c>
      <c r="J71" s="22" t="n">
        <v>0.1</v>
      </c>
      <c r="K71" s="21" t="n">
        <f aca="false">G71*H71*(1-J71)</f>
        <v>388.8</v>
      </c>
      <c r="L71" s="21" t="n">
        <f aca="false">G71*I71</f>
        <v>216</v>
      </c>
      <c r="M71" s="21" t="n">
        <f aca="false">K71-L71</f>
        <v>172.8</v>
      </c>
      <c r="N71" s="11" t="str">
        <f aca="false">TEXT(B71,"mmm")</f>
        <v>Jan</v>
      </c>
    </row>
    <row r="72" customFormat="false" ht="15" hidden="false" customHeight="false" outlineLevel="0" collapsed="false">
      <c r="A72" s="11" t="s">
        <v>133</v>
      </c>
      <c r="B72" s="20" t="n">
        <v>45678</v>
      </c>
      <c r="C72" s="11" t="s">
        <v>24</v>
      </c>
      <c r="D72" s="11" t="s">
        <v>37</v>
      </c>
      <c r="E72" s="11" t="s">
        <v>53</v>
      </c>
      <c r="F72" s="11" t="s">
        <v>44</v>
      </c>
      <c r="G72" s="11" t="n">
        <v>19</v>
      </c>
      <c r="H72" s="21" t="n">
        <v>9</v>
      </c>
      <c r="I72" s="21" t="n">
        <v>4.5</v>
      </c>
      <c r="J72" s="22" t="n">
        <v>0</v>
      </c>
      <c r="K72" s="21" t="n">
        <f aca="false">G72*H72*(1-J72)</f>
        <v>171</v>
      </c>
      <c r="L72" s="21" t="n">
        <f aca="false">G72*I72</f>
        <v>85.5</v>
      </c>
      <c r="M72" s="21" t="n">
        <f aca="false">K72-L72</f>
        <v>85.5</v>
      </c>
      <c r="N72" s="11" t="str">
        <f aca="false">TEXT(B72,"mmm")</f>
        <v>Jan</v>
      </c>
    </row>
    <row r="73" customFormat="false" ht="15" hidden="false" customHeight="false" outlineLevel="0" collapsed="false">
      <c r="A73" s="11" t="s">
        <v>134</v>
      </c>
      <c r="B73" s="20" t="n">
        <v>45678</v>
      </c>
      <c r="C73" s="11" t="s">
        <v>18</v>
      </c>
      <c r="D73" s="11" t="s">
        <v>33</v>
      </c>
      <c r="E73" s="11" t="s">
        <v>51</v>
      </c>
      <c r="F73" s="11" t="s">
        <v>45</v>
      </c>
      <c r="G73" s="11" t="n">
        <v>15</v>
      </c>
      <c r="H73" s="21" t="n">
        <v>90</v>
      </c>
      <c r="I73" s="21" t="n">
        <v>58</v>
      </c>
      <c r="J73" s="22" t="n">
        <v>0.15</v>
      </c>
      <c r="K73" s="21" t="n">
        <f aca="false">G73*H73*(1-J73)</f>
        <v>1147.5</v>
      </c>
      <c r="L73" s="21" t="n">
        <f aca="false">G73*I73</f>
        <v>870</v>
      </c>
      <c r="M73" s="21" t="n">
        <f aca="false">K73-L73</f>
        <v>277.5</v>
      </c>
      <c r="N73" s="11" t="str">
        <f aca="false">TEXT(B73,"mmm")</f>
        <v>Jan</v>
      </c>
    </row>
    <row r="74" customFormat="false" ht="15" hidden="false" customHeight="false" outlineLevel="0" collapsed="false">
      <c r="A74" s="11" t="s">
        <v>135</v>
      </c>
      <c r="B74" s="20" t="n">
        <v>45678</v>
      </c>
      <c r="C74" s="11" t="s">
        <v>20</v>
      </c>
      <c r="D74" s="11" t="s">
        <v>33</v>
      </c>
      <c r="E74" s="11" t="s">
        <v>48</v>
      </c>
      <c r="F74" s="11" t="s">
        <v>44</v>
      </c>
      <c r="G74" s="11" t="n">
        <v>4</v>
      </c>
      <c r="H74" s="21" t="n">
        <v>520</v>
      </c>
      <c r="I74" s="21" t="n">
        <v>415</v>
      </c>
      <c r="J74" s="22" t="n">
        <v>0</v>
      </c>
      <c r="K74" s="21" t="n">
        <f aca="false">G74*H74*(1-J74)</f>
        <v>2080</v>
      </c>
      <c r="L74" s="21" t="n">
        <f aca="false">G74*I74</f>
        <v>1660</v>
      </c>
      <c r="M74" s="21" t="n">
        <f aca="false">K74-L74</f>
        <v>420</v>
      </c>
      <c r="N74" s="11" t="str">
        <f aca="false">TEXT(B74,"mmm")</f>
        <v>Jan</v>
      </c>
    </row>
    <row r="75" customFormat="false" ht="15" hidden="false" customHeight="false" outlineLevel="0" collapsed="false">
      <c r="A75" s="11" t="s">
        <v>136</v>
      </c>
      <c r="B75" s="20" t="n">
        <v>45678</v>
      </c>
      <c r="C75" s="11" t="s">
        <v>20</v>
      </c>
      <c r="D75" s="11" t="s">
        <v>35</v>
      </c>
      <c r="E75" s="11" t="s">
        <v>56</v>
      </c>
      <c r="F75" s="11" t="s">
        <v>42</v>
      </c>
      <c r="G75" s="11" t="n">
        <v>1</v>
      </c>
      <c r="H75" s="21" t="n">
        <v>110</v>
      </c>
      <c r="I75" s="21" t="n">
        <v>62</v>
      </c>
      <c r="J75" s="22" t="n">
        <v>0.1</v>
      </c>
      <c r="K75" s="21" t="n">
        <f aca="false">G75*H75*(1-J75)</f>
        <v>99</v>
      </c>
      <c r="L75" s="21" t="n">
        <f aca="false">G75*I75</f>
        <v>62</v>
      </c>
      <c r="M75" s="21" t="n">
        <f aca="false">K75-L75</f>
        <v>37</v>
      </c>
      <c r="N75" s="11" t="str">
        <f aca="false">TEXT(B75,"mmm")</f>
        <v>Jan</v>
      </c>
    </row>
    <row r="76" customFormat="false" ht="15" hidden="false" customHeight="false" outlineLevel="0" collapsed="false">
      <c r="A76" s="11" t="s">
        <v>137</v>
      </c>
      <c r="B76" s="20" t="n">
        <v>45678</v>
      </c>
      <c r="C76" s="11" t="s">
        <v>18</v>
      </c>
      <c r="D76" s="11" t="s">
        <v>37</v>
      </c>
      <c r="E76" s="11" t="s">
        <v>52</v>
      </c>
      <c r="F76" s="11" t="s">
        <v>44</v>
      </c>
      <c r="G76" s="11" t="n">
        <v>27</v>
      </c>
      <c r="H76" s="21" t="n">
        <v>12</v>
      </c>
      <c r="I76" s="21" t="n">
        <v>6</v>
      </c>
      <c r="J76" s="22" t="n">
        <v>0.05</v>
      </c>
      <c r="K76" s="21" t="n">
        <f aca="false">G76*H76*(1-J76)</f>
        <v>307.8</v>
      </c>
      <c r="L76" s="21" t="n">
        <f aca="false">G76*I76</f>
        <v>162</v>
      </c>
      <c r="M76" s="21" t="n">
        <f aca="false">K76-L76</f>
        <v>145.8</v>
      </c>
      <c r="N76" s="11" t="str">
        <f aca="false">TEXT(B76,"mmm")</f>
        <v>Jan</v>
      </c>
    </row>
    <row r="77" customFormat="false" ht="15" hidden="false" customHeight="false" outlineLevel="0" collapsed="false">
      <c r="A77" s="11" t="s">
        <v>138</v>
      </c>
      <c r="B77" s="20" t="n">
        <v>45679</v>
      </c>
      <c r="C77" s="11" t="s">
        <v>20</v>
      </c>
      <c r="D77" s="11" t="s">
        <v>37</v>
      </c>
      <c r="E77" s="11" t="s">
        <v>49</v>
      </c>
      <c r="F77" s="11" t="s">
        <v>42</v>
      </c>
      <c r="G77" s="11" t="n">
        <v>2</v>
      </c>
      <c r="H77" s="21" t="n">
        <v>28</v>
      </c>
      <c r="I77" s="21" t="n">
        <v>17</v>
      </c>
      <c r="J77" s="22" t="n">
        <v>0.1</v>
      </c>
      <c r="K77" s="21" t="n">
        <f aca="false">G77*H77*(1-J77)</f>
        <v>50.4</v>
      </c>
      <c r="L77" s="21" t="n">
        <f aca="false">G77*I77</f>
        <v>34</v>
      </c>
      <c r="M77" s="21" t="n">
        <f aca="false">K77-L77</f>
        <v>16.4</v>
      </c>
      <c r="N77" s="11" t="str">
        <f aca="false">TEXT(B77,"mmm")</f>
        <v>Jan</v>
      </c>
    </row>
    <row r="78" customFormat="false" ht="15" hidden="false" customHeight="false" outlineLevel="0" collapsed="false">
      <c r="A78" s="11" t="s">
        <v>139</v>
      </c>
      <c r="B78" s="20" t="n">
        <v>45679</v>
      </c>
      <c r="C78" s="11" t="s">
        <v>20</v>
      </c>
      <c r="D78" s="11" t="s">
        <v>35</v>
      </c>
      <c r="E78" s="11" t="s">
        <v>55</v>
      </c>
      <c r="F78" s="11" t="s">
        <v>42</v>
      </c>
      <c r="G78" s="11" t="n">
        <v>4</v>
      </c>
      <c r="H78" s="21" t="n">
        <v>150</v>
      </c>
      <c r="I78" s="21" t="n">
        <v>82</v>
      </c>
      <c r="J78" s="22" t="n">
        <v>0.1</v>
      </c>
      <c r="K78" s="21" t="n">
        <f aca="false">G78*H78*(1-J78)</f>
        <v>540</v>
      </c>
      <c r="L78" s="21" t="n">
        <f aca="false">G78*I78</f>
        <v>328</v>
      </c>
      <c r="M78" s="21" t="n">
        <f aca="false">K78-L78</f>
        <v>212</v>
      </c>
      <c r="N78" s="11" t="str">
        <f aca="false">TEXT(B78,"mmm")</f>
        <v>Jan</v>
      </c>
    </row>
    <row r="79" customFormat="false" ht="15" hidden="false" customHeight="false" outlineLevel="0" collapsed="false">
      <c r="A79" s="11" t="s">
        <v>140</v>
      </c>
      <c r="B79" s="20" t="n">
        <v>45679</v>
      </c>
      <c r="C79" s="11" t="s">
        <v>24</v>
      </c>
      <c r="D79" s="11" t="s">
        <v>37</v>
      </c>
      <c r="E79" s="11" t="s">
        <v>53</v>
      </c>
      <c r="F79" s="11" t="s">
        <v>44</v>
      </c>
      <c r="G79" s="11" t="n">
        <v>18</v>
      </c>
      <c r="H79" s="21" t="n">
        <v>9</v>
      </c>
      <c r="I79" s="21" t="n">
        <v>4.5</v>
      </c>
      <c r="J79" s="22" t="n">
        <v>0</v>
      </c>
      <c r="K79" s="21" t="n">
        <f aca="false">G79*H79*(1-J79)</f>
        <v>162</v>
      </c>
      <c r="L79" s="21" t="n">
        <f aca="false">G79*I79</f>
        <v>81</v>
      </c>
      <c r="M79" s="21" t="n">
        <f aca="false">K79-L79</f>
        <v>81</v>
      </c>
      <c r="N79" s="11" t="str">
        <f aca="false">TEXT(B79,"mmm")</f>
        <v>Jan</v>
      </c>
    </row>
    <row r="80" customFormat="false" ht="15" hidden="false" customHeight="false" outlineLevel="0" collapsed="false">
      <c r="A80" s="11" t="s">
        <v>141</v>
      </c>
      <c r="B80" s="20" t="n">
        <v>45679</v>
      </c>
      <c r="C80" s="11" t="s">
        <v>24</v>
      </c>
      <c r="D80" s="11" t="s">
        <v>33</v>
      </c>
      <c r="E80" s="11" t="s">
        <v>50</v>
      </c>
      <c r="F80" s="11" t="s">
        <v>42</v>
      </c>
      <c r="G80" s="11" t="n">
        <v>1</v>
      </c>
      <c r="H80" s="21" t="n">
        <v>780</v>
      </c>
      <c r="I80" s="21" t="n">
        <v>600</v>
      </c>
      <c r="J80" s="22" t="n">
        <v>0</v>
      </c>
      <c r="K80" s="21" t="n">
        <f aca="false">G80*H80*(1-J80)</f>
        <v>780</v>
      </c>
      <c r="L80" s="21" t="n">
        <f aca="false">G80*I80</f>
        <v>600</v>
      </c>
      <c r="M80" s="21" t="n">
        <f aca="false">K80-L80</f>
        <v>180</v>
      </c>
      <c r="N80" s="11" t="str">
        <f aca="false">TEXT(B80,"mmm")</f>
        <v>Jan</v>
      </c>
    </row>
    <row r="81" customFormat="false" ht="15" hidden="false" customHeight="false" outlineLevel="0" collapsed="false">
      <c r="A81" s="11" t="s">
        <v>142</v>
      </c>
      <c r="B81" s="20" t="n">
        <v>45680</v>
      </c>
      <c r="C81" s="11" t="s">
        <v>20</v>
      </c>
      <c r="D81" s="11" t="s">
        <v>33</v>
      </c>
      <c r="E81" s="11" t="s">
        <v>48</v>
      </c>
      <c r="F81" s="11" t="s">
        <v>44</v>
      </c>
      <c r="G81" s="11" t="n">
        <v>2</v>
      </c>
      <c r="H81" s="21" t="n">
        <v>520</v>
      </c>
      <c r="I81" s="21" t="n">
        <v>415</v>
      </c>
      <c r="J81" s="22" t="n">
        <v>0.1</v>
      </c>
      <c r="K81" s="21" t="n">
        <f aca="false">G81*H81*(1-J81)</f>
        <v>936</v>
      </c>
      <c r="L81" s="21" t="n">
        <f aca="false">G81*I81</f>
        <v>830</v>
      </c>
      <c r="M81" s="21" t="n">
        <f aca="false">K81-L81</f>
        <v>106</v>
      </c>
      <c r="N81" s="11" t="str">
        <f aca="false">TEXT(B81,"mmm")</f>
        <v>Jan</v>
      </c>
    </row>
    <row r="82" customFormat="false" ht="15" hidden="false" customHeight="false" outlineLevel="0" collapsed="false">
      <c r="A82" s="11" t="s">
        <v>143</v>
      </c>
      <c r="B82" s="20" t="n">
        <v>45680</v>
      </c>
      <c r="C82" s="11" t="s">
        <v>24</v>
      </c>
      <c r="D82" s="11" t="s">
        <v>35</v>
      </c>
      <c r="E82" s="11" t="s">
        <v>55</v>
      </c>
      <c r="F82" s="11" t="s">
        <v>45</v>
      </c>
      <c r="G82" s="11" t="n">
        <v>2</v>
      </c>
      <c r="H82" s="21" t="n">
        <v>150</v>
      </c>
      <c r="I82" s="21" t="n">
        <v>82</v>
      </c>
      <c r="J82" s="22" t="n">
        <v>0.15</v>
      </c>
      <c r="K82" s="21" t="n">
        <f aca="false">G82*H82*(1-J82)</f>
        <v>255</v>
      </c>
      <c r="L82" s="21" t="n">
        <f aca="false">G82*I82</f>
        <v>164</v>
      </c>
      <c r="M82" s="21" t="n">
        <f aca="false">K82-L82</f>
        <v>91</v>
      </c>
      <c r="N82" s="11" t="str">
        <f aca="false">TEXT(B82,"mmm")</f>
        <v>Jan</v>
      </c>
    </row>
    <row r="83" customFormat="false" ht="15" hidden="false" customHeight="false" outlineLevel="0" collapsed="false">
      <c r="A83" s="11" t="s">
        <v>144</v>
      </c>
      <c r="B83" s="20" t="n">
        <v>45680</v>
      </c>
      <c r="C83" s="11" t="s">
        <v>22</v>
      </c>
      <c r="D83" s="11" t="s">
        <v>37</v>
      </c>
      <c r="E83" s="11" t="s">
        <v>52</v>
      </c>
      <c r="F83" s="11" t="s">
        <v>44</v>
      </c>
      <c r="G83" s="11" t="n">
        <v>30</v>
      </c>
      <c r="H83" s="21" t="n">
        <v>12</v>
      </c>
      <c r="I83" s="21" t="n">
        <v>6</v>
      </c>
      <c r="J83" s="22" t="n">
        <v>0</v>
      </c>
      <c r="K83" s="21" t="n">
        <f aca="false">G83*H83*(1-J83)</f>
        <v>360</v>
      </c>
      <c r="L83" s="21" t="n">
        <f aca="false">G83*I83</f>
        <v>180</v>
      </c>
      <c r="M83" s="21" t="n">
        <f aca="false">K83-L83</f>
        <v>180</v>
      </c>
      <c r="N83" s="11" t="str">
        <f aca="false">TEXT(B83,"mmm")</f>
        <v>Jan</v>
      </c>
    </row>
    <row r="84" customFormat="false" ht="15" hidden="false" customHeight="false" outlineLevel="0" collapsed="false">
      <c r="A84" s="11" t="s">
        <v>145</v>
      </c>
      <c r="B84" s="20" t="n">
        <v>45680</v>
      </c>
      <c r="C84" s="11" t="s">
        <v>18</v>
      </c>
      <c r="D84" s="11" t="s">
        <v>33</v>
      </c>
      <c r="E84" s="11" t="s">
        <v>51</v>
      </c>
      <c r="F84" s="11" t="s">
        <v>44</v>
      </c>
      <c r="G84" s="11" t="n">
        <v>5</v>
      </c>
      <c r="H84" s="21" t="n">
        <v>90</v>
      </c>
      <c r="I84" s="21" t="n">
        <v>58</v>
      </c>
      <c r="J84" s="22" t="n">
        <v>0</v>
      </c>
      <c r="K84" s="21" t="n">
        <f aca="false">G84*H84*(1-J84)</f>
        <v>450</v>
      </c>
      <c r="L84" s="21" t="n">
        <f aca="false">G84*I84</f>
        <v>290</v>
      </c>
      <c r="M84" s="21" t="n">
        <f aca="false">K84-L84</f>
        <v>160</v>
      </c>
      <c r="N84" s="11" t="str">
        <f aca="false">TEXT(B84,"mmm")</f>
        <v>Jan</v>
      </c>
    </row>
    <row r="85" customFormat="false" ht="15" hidden="false" customHeight="false" outlineLevel="0" collapsed="false">
      <c r="A85" s="11" t="s">
        <v>146</v>
      </c>
      <c r="B85" s="20" t="n">
        <v>45681</v>
      </c>
      <c r="C85" s="11" t="s">
        <v>18</v>
      </c>
      <c r="D85" s="11" t="s">
        <v>37</v>
      </c>
      <c r="E85" s="11" t="s">
        <v>52</v>
      </c>
      <c r="F85" s="11" t="s">
        <v>44</v>
      </c>
      <c r="G85" s="11" t="n">
        <v>29</v>
      </c>
      <c r="H85" s="21" t="n">
        <v>12</v>
      </c>
      <c r="I85" s="21" t="n">
        <v>6</v>
      </c>
      <c r="J85" s="22" t="n">
        <v>0.1</v>
      </c>
      <c r="K85" s="21" t="n">
        <f aca="false">G85*H85*(1-J85)</f>
        <v>313.2</v>
      </c>
      <c r="L85" s="21" t="n">
        <f aca="false">G85*I85</f>
        <v>174</v>
      </c>
      <c r="M85" s="21" t="n">
        <f aca="false">K85-L85</f>
        <v>139.2</v>
      </c>
      <c r="N85" s="11" t="str">
        <f aca="false">TEXT(B85,"mmm")</f>
        <v>Jan</v>
      </c>
    </row>
    <row r="86" customFormat="false" ht="15" hidden="false" customHeight="false" outlineLevel="0" collapsed="false">
      <c r="A86" s="11" t="s">
        <v>147</v>
      </c>
      <c r="B86" s="20" t="n">
        <v>45681</v>
      </c>
      <c r="C86" s="11" t="s">
        <v>22</v>
      </c>
      <c r="D86" s="11" t="s">
        <v>33</v>
      </c>
      <c r="E86" s="11" t="s">
        <v>48</v>
      </c>
      <c r="F86" s="11" t="s">
        <v>44</v>
      </c>
      <c r="G86" s="11" t="n">
        <v>1</v>
      </c>
      <c r="H86" s="21" t="n">
        <v>520</v>
      </c>
      <c r="I86" s="21" t="n">
        <v>415</v>
      </c>
      <c r="J86" s="22" t="n">
        <v>0</v>
      </c>
      <c r="K86" s="21" t="n">
        <f aca="false">G86*H86*(1-J86)</f>
        <v>520</v>
      </c>
      <c r="L86" s="21" t="n">
        <f aca="false">G86*I86</f>
        <v>415</v>
      </c>
      <c r="M86" s="21" t="n">
        <f aca="false">K86-L86</f>
        <v>105</v>
      </c>
      <c r="N86" s="11" t="str">
        <f aca="false">TEXT(B86,"mmm")</f>
        <v>Jan</v>
      </c>
    </row>
    <row r="87" customFormat="false" ht="15" hidden="false" customHeight="false" outlineLevel="0" collapsed="false">
      <c r="A87" s="11" t="s">
        <v>148</v>
      </c>
      <c r="B87" s="20" t="n">
        <v>45682</v>
      </c>
      <c r="C87" s="11" t="s">
        <v>18</v>
      </c>
      <c r="D87" s="11" t="s">
        <v>37</v>
      </c>
      <c r="E87" s="11" t="s">
        <v>49</v>
      </c>
      <c r="F87" s="11" t="s">
        <v>44</v>
      </c>
      <c r="G87" s="11" t="n">
        <v>3</v>
      </c>
      <c r="H87" s="21" t="n">
        <v>28</v>
      </c>
      <c r="I87" s="21" t="n">
        <v>17</v>
      </c>
      <c r="J87" s="22" t="n">
        <v>0.1</v>
      </c>
      <c r="K87" s="21" t="n">
        <f aca="false">G87*H87*(1-J87)</f>
        <v>75.6</v>
      </c>
      <c r="L87" s="21" t="n">
        <f aca="false">G87*I87</f>
        <v>51</v>
      </c>
      <c r="M87" s="21" t="n">
        <f aca="false">K87-L87</f>
        <v>24.6</v>
      </c>
      <c r="N87" s="11" t="str">
        <f aca="false">TEXT(B87,"mmm")</f>
        <v>Jan</v>
      </c>
    </row>
    <row r="88" customFormat="false" ht="15" hidden="false" customHeight="false" outlineLevel="0" collapsed="false">
      <c r="A88" s="11" t="s">
        <v>149</v>
      </c>
      <c r="B88" s="20" t="n">
        <v>45682</v>
      </c>
      <c r="C88" s="11" t="s">
        <v>24</v>
      </c>
      <c r="D88" s="11" t="s">
        <v>37</v>
      </c>
      <c r="E88" s="11" t="s">
        <v>52</v>
      </c>
      <c r="F88" s="11" t="s">
        <v>42</v>
      </c>
      <c r="G88" s="11" t="n">
        <v>24</v>
      </c>
      <c r="H88" s="21" t="n">
        <v>12</v>
      </c>
      <c r="I88" s="21" t="n">
        <v>6</v>
      </c>
      <c r="J88" s="22" t="n">
        <v>0.1</v>
      </c>
      <c r="K88" s="21" t="n">
        <f aca="false">G88*H88*(1-J88)</f>
        <v>259.2</v>
      </c>
      <c r="L88" s="21" t="n">
        <f aca="false">G88*I88</f>
        <v>144</v>
      </c>
      <c r="M88" s="21" t="n">
        <f aca="false">K88-L88</f>
        <v>115.2</v>
      </c>
      <c r="N88" s="11" t="str">
        <f aca="false">TEXT(B88,"mmm")</f>
        <v>Jan</v>
      </c>
    </row>
    <row r="89" customFormat="false" ht="15" hidden="false" customHeight="false" outlineLevel="0" collapsed="false">
      <c r="A89" s="11" t="s">
        <v>150</v>
      </c>
      <c r="B89" s="20" t="n">
        <v>45683</v>
      </c>
      <c r="C89" s="11" t="s">
        <v>20</v>
      </c>
      <c r="D89" s="11" t="s">
        <v>37</v>
      </c>
      <c r="E89" s="11" t="s">
        <v>52</v>
      </c>
      <c r="F89" s="11" t="s">
        <v>42</v>
      </c>
      <c r="G89" s="11" t="n">
        <v>27</v>
      </c>
      <c r="H89" s="21" t="n">
        <v>12</v>
      </c>
      <c r="I89" s="21" t="n">
        <v>6</v>
      </c>
      <c r="J89" s="22" t="n">
        <v>0.05</v>
      </c>
      <c r="K89" s="21" t="n">
        <f aca="false">G89*H89*(1-J89)</f>
        <v>307.8</v>
      </c>
      <c r="L89" s="21" t="n">
        <f aca="false">G89*I89</f>
        <v>162</v>
      </c>
      <c r="M89" s="21" t="n">
        <f aca="false">K89-L89</f>
        <v>145.8</v>
      </c>
      <c r="N89" s="11" t="str">
        <f aca="false">TEXT(B89,"mmm")</f>
        <v>Jan</v>
      </c>
    </row>
    <row r="90" customFormat="false" ht="15" hidden="false" customHeight="false" outlineLevel="0" collapsed="false">
      <c r="A90" s="11" t="s">
        <v>151</v>
      </c>
      <c r="B90" s="20" t="n">
        <v>45683</v>
      </c>
      <c r="C90" s="11" t="s">
        <v>18</v>
      </c>
      <c r="D90" s="11" t="s">
        <v>35</v>
      </c>
      <c r="E90" s="11" t="s">
        <v>56</v>
      </c>
      <c r="F90" s="11" t="s">
        <v>42</v>
      </c>
      <c r="G90" s="11" t="n">
        <v>4</v>
      </c>
      <c r="H90" s="21" t="n">
        <v>110</v>
      </c>
      <c r="I90" s="21" t="n">
        <v>62</v>
      </c>
      <c r="J90" s="22" t="n">
        <v>0</v>
      </c>
      <c r="K90" s="21" t="n">
        <f aca="false">G90*H90*(1-J90)</f>
        <v>440</v>
      </c>
      <c r="L90" s="21" t="n">
        <f aca="false">G90*I90</f>
        <v>248</v>
      </c>
      <c r="M90" s="21" t="n">
        <f aca="false">K90-L90</f>
        <v>192</v>
      </c>
      <c r="N90" s="11" t="str">
        <f aca="false">TEXT(B90,"mmm")</f>
        <v>Jan</v>
      </c>
    </row>
    <row r="91" customFormat="false" ht="15" hidden="false" customHeight="false" outlineLevel="0" collapsed="false">
      <c r="A91" s="11" t="s">
        <v>152</v>
      </c>
      <c r="B91" s="20" t="n">
        <v>45683</v>
      </c>
      <c r="C91" s="11" t="s">
        <v>20</v>
      </c>
      <c r="D91" s="11" t="s">
        <v>37</v>
      </c>
      <c r="E91" s="11" t="s">
        <v>52</v>
      </c>
      <c r="F91" s="11" t="s">
        <v>44</v>
      </c>
      <c r="G91" s="11" t="n">
        <v>17</v>
      </c>
      <c r="H91" s="21" t="n">
        <v>12</v>
      </c>
      <c r="I91" s="21" t="n">
        <v>6</v>
      </c>
      <c r="J91" s="22" t="n">
        <v>0</v>
      </c>
      <c r="K91" s="21" t="n">
        <f aca="false">G91*H91*(1-J91)</f>
        <v>204</v>
      </c>
      <c r="L91" s="21" t="n">
        <f aca="false">G91*I91</f>
        <v>102</v>
      </c>
      <c r="M91" s="21" t="n">
        <f aca="false">K91-L91</f>
        <v>102</v>
      </c>
      <c r="N91" s="11" t="str">
        <f aca="false">TEXT(B91,"mmm")</f>
        <v>Jan</v>
      </c>
    </row>
    <row r="92" customFormat="false" ht="15" hidden="false" customHeight="false" outlineLevel="0" collapsed="false">
      <c r="A92" s="11" t="s">
        <v>153</v>
      </c>
      <c r="B92" s="20" t="n">
        <v>45683</v>
      </c>
      <c r="C92" s="11" t="s">
        <v>24</v>
      </c>
      <c r="D92" s="11" t="s">
        <v>37</v>
      </c>
      <c r="E92" s="11" t="s">
        <v>52</v>
      </c>
      <c r="F92" s="11" t="s">
        <v>42</v>
      </c>
      <c r="G92" s="11" t="n">
        <v>38</v>
      </c>
      <c r="H92" s="21" t="n">
        <v>12</v>
      </c>
      <c r="I92" s="21" t="n">
        <v>6</v>
      </c>
      <c r="J92" s="22" t="n">
        <v>0.1</v>
      </c>
      <c r="K92" s="21" t="n">
        <f aca="false">G92*H92*(1-J92)</f>
        <v>410.4</v>
      </c>
      <c r="L92" s="21" t="n">
        <f aca="false">G92*I92</f>
        <v>228</v>
      </c>
      <c r="M92" s="21" t="n">
        <f aca="false">K92-L92</f>
        <v>182.4</v>
      </c>
      <c r="N92" s="11" t="str">
        <f aca="false">TEXT(B92,"mmm")</f>
        <v>Jan</v>
      </c>
    </row>
    <row r="93" customFormat="false" ht="15" hidden="false" customHeight="false" outlineLevel="0" collapsed="false">
      <c r="A93" s="11" t="s">
        <v>154</v>
      </c>
      <c r="B93" s="20" t="n">
        <v>45684</v>
      </c>
      <c r="C93" s="11" t="s">
        <v>24</v>
      </c>
      <c r="D93" s="11" t="s">
        <v>37</v>
      </c>
      <c r="E93" s="11" t="s">
        <v>52</v>
      </c>
      <c r="F93" s="11" t="s">
        <v>42</v>
      </c>
      <c r="G93" s="11" t="n">
        <v>23</v>
      </c>
      <c r="H93" s="21" t="n">
        <v>12</v>
      </c>
      <c r="I93" s="21" t="n">
        <v>6</v>
      </c>
      <c r="J93" s="22" t="n">
        <v>0.05</v>
      </c>
      <c r="K93" s="21" t="n">
        <f aca="false">G93*H93*(1-J93)</f>
        <v>262.2</v>
      </c>
      <c r="L93" s="21" t="n">
        <f aca="false">G93*I93</f>
        <v>138</v>
      </c>
      <c r="M93" s="21" t="n">
        <f aca="false">K93-L93</f>
        <v>124.2</v>
      </c>
      <c r="N93" s="11" t="str">
        <f aca="false">TEXT(B93,"mmm")</f>
        <v>Jan</v>
      </c>
    </row>
    <row r="94" customFormat="false" ht="15" hidden="false" customHeight="false" outlineLevel="0" collapsed="false">
      <c r="A94" s="11" t="s">
        <v>155</v>
      </c>
      <c r="B94" s="20" t="n">
        <v>45684</v>
      </c>
      <c r="C94" s="11" t="s">
        <v>22</v>
      </c>
      <c r="D94" s="11" t="s">
        <v>37</v>
      </c>
      <c r="E94" s="11" t="s">
        <v>53</v>
      </c>
      <c r="F94" s="11" t="s">
        <v>42</v>
      </c>
      <c r="G94" s="11" t="n">
        <v>7</v>
      </c>
      <c r="H94" s="21" t="n">
        <v>9</v>
      </c>
      <c r="I94" s="21" t="n">
        <v>4.5</v>
      </c>
      <c r="J94" s="22" t="n">
        <v>0.15</v>
      </c>
      <c r="K94" s="21" t="n">
        <f aca="false">G94*H94*(1-J94)</f>
        <v>53.55</v>
      </c>
      <c r="L94" s="21" t="n">
        <f aca="false">G94*I94</f>
        <v>31.5</v>
      </c>
      <c r="M94" s="21" t="n">
        <f aca="false">K94-L94</f>
        <v>22.05</v>
      </c>
      <c r="N94" s="11" t="str">
        <f aca="false">TEXT(B94,"mmm")</f>
        <v>Jan</v>
      </c>
    </row>
    <row r="95" customFormat="false" ht="15" hidden="false" customHeight="false" outlineLevel="0" collapsed="false">
      <c r="A95" s="11" t="s">
        <v>156</v>
      </c>
      <c r="B95" s="20" t="n">
        <v>45684</v>
      </c>
      <c r="C95" s="11" t="s">
        <v>20</v>
      </c>
      <c r="D95" s="11" t="s">
        <v>37</v>
      </c>
      <c r="E95" s="11" t="s">
        <v>49</v>
      </c>
      <c r="F95" s="11" t="s">
        <v>45</v>
      </c>
      <c r="G95" s="11" t="n">
        <v>66</v>
      </c>
      <c r="H95" s="21" t="n">
        <v>28</v>
      </c>
      <c r="I95" s="21" t="n">
        <v>17</v>
      </c>
      <c r="J95" s="22" t="n">
        <v>0.15</v>
      </c>
      <c r="K95" s="21" t="n">
        <f aca="false">G95*H95*(1-J95)</f>
        <v>1570.8</v>
      </c>
      <c r="L95" s="21" t="n">
        <f aca="false">G95*I95</f>
        <v>1122</v>
      </c>
      <c r="M95" s="21" t="n">
        <f aca="false">K95-L95</f>
        <v>448.8</v>
      </c>
      <c r="N95" s="11" t="str">
        <f aca="false">TEXT(B95,"mmm")</f>
        <v>Jan</v>
      </c>
    </row>
    <row r="96" customFormat="false" ht="15" hidden="false" customHeight="false" outlineLevel="0" collapsed="false">
      <c r="A96" s="11" t="s">
        <v>157</v>
      </c>
      <c r="B96" s="20" t="n">
        <v>45684</v>
      </c>
      <c r="C96" s="11" t="s">
        <v>18</v>
      </c>
      <c r="D96" s="11" t="s">
        <v>37</v>
      </c>
      <c r="E96" s="11" t="s">
        <v>52</v>
      </c>
      <c r="F96" s="11" t="s">
        <v>42</v>
      </c>
      <c r="G96" s="11" t="n">
        <v>18</v>
      </c>
      <c r="H96" s="21" t="n">
        <v>12</v>
      </c>
      <c r="I96" s="21" t="n">
        <v>6</v>
      </c>
      <c r="J96" s="22" t="n">
        <v>0</v>
      </c>
      <c r="K96" s="21" t="n">
        <f aca="false">G96*H96*(1-J96)</f>
        <v>216</v>
      </c>
      <c r="L96" s="21" t="n">
        <f aca="false">G96*I96</f>
        <v>108</v>
      </c>
      <c r="M96" s="21" t="n">
        <f aca="false">K96-L96</f>
        <v>108</v>
      </c>
      <c r="N96" s="11" t="str">
        <f aca="false">TEXT(B96,"mmm")</f>
        <v>Jan</v>
      </c>
    </row>
    <row r="97" customFormat="false" ht="15" hidden="false" customHeight="false" outlineLevel="0" collapsed="false">
      <c r="A97" s="11" t="s">
        <v>158</v>
      </c>
      <c r="B97" s="20" t="n">
        <v>45685</v>
      </c>
      <c r="C97" s="11" t="s">
        <v>20</v>
      </c>
      <c r="D97" s="11" t="s">
        <v>37</v>
      </c>
      <c r="E97" s="11" t="s">
        <v>49</v>
      </c>
      <c r="F97" s="11" t="s">
        <v>45</v>
      </c>
      <c r="G97" s="11" t="n">
        <v>78</v>
      </c>
      <c r="H97" s="21" t="n">
        <v>28</v>
      </c>
      <c r="I97" s="21" t="n">
        <v>17</v>
      </c>
      <c r="J97" s="22" t="n">
        <v>0.2</v>
      </c>
      <c r="K97" s="21" t="n">
        <f aca="false">G97*H97*(1-J97)</f>
        <v>1747.2</v>
      </c>
      <c r="L97" s="21" t="n">
        <f aca="false">G97*I97</f>
        <v>1326</v>
      </c>
      <c r="M97" s="21" t="n">
        <f aca="false">K97-L97</f>
        <v>421.2</v>
      </c>
      <c r="N97" s="11" t="str">
        <f aca="false">TEXT(B97,"mmm")</f>
        <v>Jan</v>
      </c>
    </row>
    <row r="98" customFormat="false" ht="15" hidden="false" customHeight="false" outlineLevel="0" collapsed="false">
      <c r="A98" s="11" t="s">
        <v>159</v>
      </c>
      <c r="B98" s="20" t="n">
        <v>45685</v>
      </c>
      <c r="C98" s="11" t="s">
        <v>20</v>
      </c>
      <c r="D98" s="11" t="s">
        <v>33</v>
      </c>
      <c r="E98" s="11" t="s">
        <v>50</v>
      </c>
      <c r="F98" s="11" t="s">
        <v>42</v>
      </c>
      <c r="G98" s="11" t="n">
        <v>3</v>
      </c>
      <c r="H98" s="21" t="n">
        <v>780</v>
      </c>
      <c r="I98" s="21" t="n">
        <v>600</v>
      </c>
      <c r="J98" s="22" t="n">
        <v>0.05</v>
      </c>
      <c r="K98" s="21" t="n">
        <f aca="false">G98*H98*(1-J98)</f>
        <v>2223</v>
      </c>
      <c r="L98" s="21" t="n">
        <f aca="false">G98*I98</f>
        <v>1800</v>
      </c>
      <c r="M98" s="21" t="n">
        <f aca="false">K98-L98</f>
        <v>423</v>
      </c>
      <c r="N98" s="11" t="str">
        <f aca="false">TEXT(B98,"mmm")</f>
        <v>Jan</v>
      </c>
    </row>
    <row r="99" customFormat="false" ht="15" hidden="false" customHeight="false" outlineLevel="0" collapsed="false">
      <c r="A99" s="11" t="s">
        <v>160</v>
      </c>
      <c r="B99" s="20" t="n">
        <v>45685</v>
      </c>
      <c r="C99" s="11" t="s">
        <v>24</v>
      </c>
      <c r="D99" s="11" t="s">
        <v>37</v>
      </c>
      <c r="E99" s="11" t="s">
        <v>53</v>
      </c>
      <c r="F99" s="11" t="s">
        <v>42</v>
      </c>
      <c r="G99" s="11" t="n">
        <v>33</v>
      </c>
      <c r="H99" s="21" t="n">
        <v>9</v>
      </c>
      <c r="I99" s="21" t="n">
        <v>4.5</v>
      </c>
      <c r="J99" s="22" t="n">
        <v>0.15</v>
      </c>
      <c r="K99" s="21" t="n">
        <f aca="false">G99*H99*(1-J99)</f>
        <v>252.45</v>
      </c>
      <c r="L99" s="21" t="n">
        <f aca="false">G99*I99</f>
        <v>148.5</v>
      </c>
      <c r="M99" s="21" t="n">
        <f aca="false">K99-L99</f>
        <v>103.95</v>
      </c>
      <c r="N99" s="11" t="str">
        <f aca="false">TEXT(B99,"mmm")</f>
        <v>Jan</v>
      </c>
    </row>
    <row r="100" customFormat="false" ht="15" hidden="false" customHeight="false" outlineLevel="0" collapsed="false">
      <c r="A100" s="11" t="s">
        <v>161</v>
      </c>
      <c r="B100" s="20" t="n">
        <v>45685</v>
      </c>
      <c r="C100" s="11" t="s">
        <v>20</v>
      </c>
      <c r="D100" s="11" t="s">
        <v>37</v>
      </c>
      <c r="E100" s="11" t="s">
        <v>52</v>
      </c>
      <c r="F100" s="11" t="s">
        <v>42</v>
      </c>
      <c r="G100" s="11" t="n">
        <v>15</v>
      </c>
      <c r="H100" s="21" t="n">
        <v>12</v>
      </c>
      <c r="I100" s="21" t="n">
        <v>6</v>
      </c>
      <c r="J100" s="22" t="n">
        <v>0.15</v>
      </c>
      <c r="K100" s="21" t="n">
        <f aca="false">G100*H100*(1-J100)</f>
        <v>153</v>
      </c>
      <c r="L100" s="21" t="n">
        <f aca="false">G100*I100</f>
        <v>90</v>
      </c>
      <c r="M100" s="21" t="n">
        <f aca="false">K100-L100</f>
        <v>63</v>
      </c>
      <c r="N100" s="11" t="str">
        <f aca="false">TEXT(B100,"mmm")</f>
        <v>Jan</v>
      </c>
    </row>
    <row r="101" customFormat="false" ht="15" hidden="false" customHeight="false" outlineLevel="0" collapsed="false">
      <c r="A101" s="11" t="s">
        <v>162</v>
      </c>
      <c r="B101" s="20" t="n">
        <v>45685</v>
      </c>
      <c r="C101" s="11" t="s">
        <v>22</v>
      </c>
      <c r="D101" s="11" t="s">
        <v>37</v>
      </c>
      <c r="E101" s="11" t="s">
        <v>52</v>
      </c>
      <c r="F101" s="11" t="s">
        <v>45</v>
      </c>
      <c r="G101" s="11" t="n">
        <v>60</v>
      </c>
      <c r="H101" s="21" t="n">
        <v>12</v>
      </c>
      <c r="I101" s="21" t="n">
        <v>6</v>
      </c>
      <c r="J101" s="22" t="n">
        <v>0.2</v>
      </c>
      <c r="K101" s="21" t="n">
        <f aca="false">G101*H101*(1-J101)</f>
        <v>576</v>
      </c>
      <c r="L101" s="21" t="n">
        <f aca="false">G101*I101</f>
        <v>360</v>
      </c>
      <c r="M101" s="21" t="n">
        <f aca="false">K101-L101</f>
        <v>216</v>
      </c>
      <c r="N101" s="11" t="str">
        <f aca="false">TEXT(B101,"mmm")</f>
        <v>Jan</v>
      </c>
    </row>
    <row r="102" customFormat="false" ht="15" hidden="false" customHeight="false" outlineLevel="0" collapsed="false">
      <c r="A102" s="11" t="s">
        <v>163</v>
      </c>
      <c r="B102" s="20" t="n">
        <v>45689</v>
      </c>
      <c r="C102" s="11" t="s">
        <v>18</v>
      </c>
      <c r="D102" s="11" t="s">
        <v>37</v>
      </c>
      <c r="E102" s="11" t="s">
        <v>49</v>
      </c>
      <c r="F102" s="11" t="s">
        <v>45</v>
      </c>
      <c r="G102" s="11" t="n">
        <v>27</v>
      </c>
      <c r="H102" s="21" t="n">
        <v>28</v>
      </c>
      <c r="I102" s="21" t="n">
        <v>17</v>
      </c>
      <c r="J102" s="22" t="n">
        <v>0.1</v>
      </c>
      <c r="K102" s="21" t="n">
        <f aca="false">G102*H102*(1-J102)</f>
        <v>680.4</v>
      </c>
      <c r="L102" s="21" t="n">
        <f aca="false">G102*I102</f>
        <v>459</v>
      </c>
      <c r="M102" s="21" t="n">
        <f aca="false">K102-L102</f>
        <v>221.4</v>
      </c>
      <c r="N102" s="11" t="str">
        <f aca="false">TEXT(B102,"mmm")</f>
        <v>Feb</v>
      </c>
    </row>
    <row r="103" customFormat="false" ht="15" hidden="false" customHeight="false" outlineLevel="0" collapsed="false">
      <c r="A103" s="11" t="s">
        <v>164</v>
      </c>
      <c r="B103" s="20" t="n">
        <v>45689</v>
      </c>
      <c r="C103" s="11" t="s">
        <v>20</v>
      </c>
      <c r="D103" s="11" t="s">
        <v>33</v>
      </c>
      <c r="E103" s="11" t="s">
        <v>48</v>
      </c>
      <c r="F103" s="11" t="s">
        <v>44</v>
      </c>
      <c r="G103" s="11" t="n">
        <v>4</v>
      </c>
      <c r="H103" s="21" t="n">
        <v>520</v>
      </c>
      <c r="I103" s="21" t="n">
        <v>415</v>
      </c>
      <c r="J103" s="22" t="n">
        <v>0.1</v>
      </c>
      <c r="K103" s="21" t="n">
        <f aca="false">G103*H103*(1-J103)</f>
        <v>1872</v>
      </c>
      <c r="L103" s="21" t="n">
        <f aca="false">G103*I103</f>
        <v>1660</v>
      </c>
      <c r="M103" s="21" t="n">
        <f aca="false">K103-L103</f>
        <v>212</v>
      </c>
      <c r="N103" s="11" t="str">
        <f aca="false">TEXT(B103,"mmm")</f>
        <v>Feb</v>
      </c>
    </row>
    <row r="104" customFormat="false" ht="15" hidden="false" customHeight="false" outlineLevel="0" collapsed="false">
      <c r="A104" s="11" t="s">
        <v>165</v>
      </c>
      <c r="B104" s="20" t="n">
        <v>45690</v>
      </c>
      <c r="C104" s="11" t="s">
        <v>24</v>
      </c>
      <c r="D104" s="11" t="s">
        <v>33</v>
      </c>
      <c r="E104" s="11" t="s">
        <v>48</v>
      </c>
      <c r="F104" s="11" t="s">
        <v>42</v>
      </c>
      <c r="G104" s="11" t="n">
        <v>4</v>
      </c>
      <c r="H104" s="21" t="n">
        <v>520</v>
      </c>
      <c r="I104" s="21" t="n">
        <v>415</v>
      </c>
      <c r="J104" s="22" t="n">
        <v>0.05</v>
      </c>
      <c r="K104" s="21" t="n">
        <f aca="false">G104*H104*(1-J104)</f>
        <v>1976</v>
      </c>
      <c r="L104" s="21" t="n">
        <f aca="false">G104*I104</f>
        <v>1660</v>
      </c>
      <c r="M104" s="21" t="n">
        <f aca="false">K104-L104</f>
        <v>316</v>
      </c>
      <c r="N104" s="11" t="str">
        <f aca="false">TEXT(B104,"mmm")</f>
        <v>Feb</v>
      </c>
    </row>
    <row r="105" customFormat="false" ht="15" hidden="false" customHeight="false" outlineLevel="0" collapsed="false">
      <c r="A105" s="11" t="s">
        <v>166</v>
      </c>
      <c r="B105" s="20" t="n">
        <v>45690</v>
      </c>
      <c r="C105" s="11" t="s">
        <v>24</v>
      </c>
      <c r="D105" s="11" t="s">
        <v>35</v>
      </c>
      <c r="E105" s="11" t="s">
        <v>56</v>
      </c>
      <c r="F105" s="11" t="s">
        <v>42</v>
      </c>
      <c r="G105" s="11" t="n">
        <v>1</v>
      </c>
      <c r="H105" s="21" t="n">
        <v>110</v>
      </c>
      <c r="I105" s="21" t="n">
        <v>62</v>
      </c>
      <c r="J105" s="22" t="n">
        <v>0</v>
      </c>
      <c r="K105" s="21" t="n">
        <f aca="false">G105*H105*(1-J105)</f>
        <v>110</v>
      </c>
      <c r="L105" s="21" t="n">
        <f aca="false">G105*I105</f>
        <v>62</v>
      </c>
      <c r="M105" s="21" t="n">
        <f aca="false">K105-L105</f>
        <v>48</v>
      </c>
      <c r="N105" s="11" t="str">
        <f aca="false">TEXT(B105,"mmm")</f>
        <v>Feb</v>
      </c>
    </row>
    <row r="106" customFormat="false" ht="15" hidden="false" customHeight="false" outlineLevel="0" collapsed="false">
      <c r="A106" s="11" t="s">
        <v>167</v>
      </c>
      <c r="B106" s="20" t="n">
        <v>45690</v>
      </c>
      <c r="C106" s="11" t="s">
        <v>22</v>
      </c>
      <c r="D106" s="11" t="s">
        <v>37</v>
      </c>
      <c r="E106" s="11" t="s">
        <v>53</v>
      </c>
      <c r="F106" s="11" t="s">
        <v>42</v>
      </c>
      <c r="G106" s="11" t="n">
        <v>7</v>
      </c>
      <c r="H106" s="21" t="n">
        <v>9</v>
      </c>
      <c r="I106" s="21" t="n">
        <v>4.5</v>
      </c>
      <c r="J106" s="22" t="n">
        <v>0.1</v>
      </c>
      <c r="K106" s="21" t="n">
        <f aca="false">G106*H106*(1-J106)</f>
        <v>56.7</v>
      </c>
      <c r="L106" s="21" t="n">
        <f aca="false">G106*I106</f>
        <v>31.5</v>
      </c>
      <c r="M106" s="21" t="n">
        <f aca="false">K106-L106</f>
        <v>25.2</v>
      </c>
      <c r="N106" s="11" t="str">
        <f aca="false">TEXT(B106,"mmm")</f>
        <v>Feb</v>
      </c>
    </row>
    <row r="107" customFormat="false" ht="15" hidden="false" customHeight="false" outlineLevel="0" collapsed="false">
      <c r="A107" s="11" t="s">
        <v>168</v>
      </c>
      <c r="B107" s="20" t="n">
        <v>45690</v>
      </c>
      <c r="C107" s="11" t="s">
        <v>24</v>
      </c>
      <c r="D107" s="11" t="s">
        <v>35</v>
      </c>
      <c r="E107" s="11" t="s">
        <v>56</v>
      </c>
      <c r="F107" s="11" t="s">
        <v>42</v>
      </c>
      <c r="G107" s="11" t="n">
        <v>1</v>
      </c>
      <c r="H107" s="21" t="n">
        <v>110</v>
      </c>
      <c r="I107" s="21" t="n">
        <v>62</v>
      </c>
      <c r="J107" s="22" t="n">
        <v>0</v>
      </c>
      <c r="K107" s="21" t="n">
        <f aca="false">G107*H107*(1-J107)</f>
        <v>110</v>
      </c>
      <c r="L107" s="21" t="n">
        <f aca="false">G107*I107</f>
        <v>62</v>
      </c>
      <c r="M107" s="21" t="n">
        <f aca="false">K107-L107</f>
        <v>48</v>
      </c>
      <c r="N107" s="11" t="str">
        <f aca="false">TEXT(B107,"mmm")</f>
        <v>Feb</v>
      </c>
    </row>
    <row r="108" customFormat="false" ht="15" hidden="false" customHeight="false" outlineLevel="0" collapsed="false">
      <c r="A108" s="11" t="s">
        <v>169</v>
      </c>
      <c r="B108" s="20" t="n">
        <v>45690</v>
      </c>
      <c r="C108" s="11" t="s">
        <v>20</v>
      </c>
      <c r="D108" s="11" t="s">
        <v>37</v>
      </c>
      <c r="E108" s="11" t="s">
        <v>52</v>
      </c>
      <c r="F108" s="11" t="s">
        <v>44</v>
      </c>
      <c r="G108" s="11" t="n">
        <v>15</v>
      </c>
      <c r="H108" s="21" t="n">
        <v>12</v>
      </c>
      <c r="I108" s="21" t="n">
        <v>6</v>
      </c>
      <c r="J108" s="22" t="n">
        <v>0</v>
      </c>
      <c r="K108" s="21" t="n">
        <f aca="false">G108*H108*(1-J108)</f>
        <v>180</v>
      </c>
      <c r="L108" s="21" t="n">
        <f aca="false">G108*I108</f>
        <v>90</v>
      </c>
      <c r="M108" s="21" t="n">
        <f aca="false">K108-L108</f>
        <v>90</v>
      </c>
      <c r="N108" s="11" t="str">
        <f aca="false">TEXT(B108,"mmm")</f>
        <v>Feb</v>
      </c>
    </row>
    <row r="109" customFormat="false" ht="15" hidden="false" customHeight="false" outlineLevel="0" collapsed="false">
      <c r="A109" s="11" t="s">
        <v>170</v>
      </c>
      <c r="B109" s="20" t="n">
        <v>45691</v>
      </c>
      <c r="C109" s="11" t="s">
        <v>20</v>
      </c>
      <c r="D109" s="11" t="s">
        <v>35</v>
      </c>
      <c r="E109" s="11" t="s">
        <v>55</v>
      </c>
      <c r="F109" s="11" t="s">
        <v>44</v>
      </c>
      <c r="G109" s="11" t="n">
        <v>2</v>
      </c>
      <c r="H109" s="21" t="n">
        <v>150</v>
      </c>
      <c r="I109" s="21" t="n">
        <v>82</v>
      </c>
      <c r="J109" s="22" t="n">
        <v>0</v>
      </c>
      <c r="K109" s="21" t="n">
        <f aca="false">G109*H109*(1-J109)</f>
        <v>300</v>
      </c>
      <c r="L109" s="21" t="n">
        <f aca="false">G109*I109</f>
        <v>164</v>
      </c>
      <c r="M109" s="21" t="n">
        <f aca="false">K109-L109</f>
        <v>136</v>
      </c>
      <c r="N109" s="11" t="str">
        <f aca="false">TEXT(B109,"mmm")</f>
        <v>Feb</v>
      </c>
    </row>
    <row r="110" customFormat="false" ht="15" hidden="false" customHeight="false" outlineLevel="0" collapsed="false">
      <c r="A110" s="11" t="s">
        <v>171</v>
      </c>
      <c r="B110" s="20" t="n">
        <v>45692</v>
      </c>
      <c r="C110" s="11" t="s">
        <v>20</v>
      </c>
      <c r="D110" s="11" t="s">
        <v>35</v>
      </c>
      <c r="E110" s="11" t="s">
        <v>55</v>
      </c>
      <c r="F110" s="11" t="s">
        <v>44</v>
      </c>
      <c r="G110" s="11" t="n">
        <v>3</v>
      </c>
      <c r="H110" s="21" t="n">
        <v>150</v>
      </c>
      <c r="I110" s="21" t="n">
        <v>82</v>
      </c>
      <c r="J110" s="22" t="n">
        <v>0.05</v>
      </c>
      <c r="K110" s="21" t="n">
        <f aca="false">G110*H110*(1-J110)</f>
        <v>427.5</v>
      </c>
      <c r="L110" s="21" t="n">
        <f aca="false">G110*I110</f>
        <v>246</v>
      </c>
      <c r="M110" s="21" t="n">
        <f aca="false">K110-L110</f>
        <v>181.5</v>
      </c>
      <c r="N110" s="11" t="str">
        <f aca="false">TEXT(B110,"mmm")</f>
        <v>Feb</v>
      </c>
    </row>
    <row r="111" customFormat="false" ht="15" hidden="false" customHeight="false" outlineLevel="0" collapsed="false">
      <c r="A111" s="11" t="s">
        <v>172</v>
      </c>
      <c r="B111" s="20" t="n">
        <v>45692</v>
      </c>
      <c r="C111" s="11" t="s">
        <v>18</v>
      </c>
      <c r="D111" s="11" t="s">
        <v>37</v>
      </c>
      <c r="E111" s="11" t="s">
        <v>49</v>
      </c>
      <c r="F111" s="11" t="s">
        <v>42</v>
      </c>
      <c r="G111" s="11" t="n">
        <v>31</v>
      </c>
      <c r="H111" s="21" t="n">
        <v>28</v>
      </c>
      <c r="I111" s="21" t="n">
        <v>17</v>
      </c>
      <c r="J111" s="22" t="n">
        <v>0.05</v>
      </c>
      <c r="K111" s="21" t="n">
        <f aca="false">G111*H111*(1-J111)</f>
        <v>824.6</v>
      </c>
      <c r="L111" s="21" t="n">
        <f aca="false">G111*I111</f>
        <v>527</v>
      </c>
      <c r="M111" s="21" t="n">
        <f aca="false">K111-L111</f>
        <v>297.6</v>
      </c>
      <c r="N111" s="11" t="str">
        <f aca="false">TEXT(B111,"mmm")</f>
        <v>Feb</v>
      </c>
    </row>
    <row r="112" customFormat="false" ht="15" hidden="false" customHeight="false" outlineLevel="0" collapsed="false">
      <c r="A112" s="11" t="s">
        <v>173</v>
      </c>
      <c r="B112" s="20" t="n">
        <v>45692</v>
      </c>
      <c r="C112" s="11" t="s">
        <v>18</v>
      </c>
      <c r="D112" s="11" t="s">
        <v>33</v>
      </c>
      <c r="E112" s="11" t="s">
        <v>51</v>
      </c>
      <c r="F112" s="11" t="s">
        <v>44</v>
      </c>
      <c r="G112" s="11" t="n">
        <v>4</v>
      </c>
      <c r="H112" s="21" t="n">
        <v>90</v>
      </c>
      <c r="I112" s="21" t="n">
        <v>58</v>
      </c>
      <c r="J112" s="22" t="n">
        <v>0</v>
      </c>
      <c r="K112" s="21" t="n">
        <f aca="false">G112*H112*(1-J112)</f>
        <v>360</v>
      </c>
      <c r="L112" s="21" t="n">
        <f aca="false">G112*I112</f>
        <v>232</v>
      </c>
      <c r="M112" s="21" t="n">
        <f aca="false">K112-L112</f>
        <v>128</v>
      </c>
      <c r="N112" s="11" t="str">
        <f aca="false">TEXT(B112,"mmm")</f>
        <v>Feb</v>
      </c>
    </row>
    <row r="113" customFormat="false" ht="15" hidden="false" customHeight="false" outlineLevel="0" collapsed="false">
      <c r="A113" s="11" t="s">
        <v>174</v>
      </c>
      <c r="B113" s="20" t="n">
        <v>45692</v>
      </c>
      <c r="C113" s="11" t="s">
        <v>18</v>
      </c>
      <c r="D113" s="11" t="s">
        <v>33</v>
      </c>
      <c r="E113" s="11" t="s">
        <v>51</v>
      </c>
      <c r="F113" s="11" t="s">
        <v>45</v>
      </c>
      <c r="G113" s="11" t="n">
        <v>3</v>
      </c>
      <c r="H113" s="21" t="n">
        <v>90</v>
      </c>
      <c r="I113" s="21" t="n">
        <v>58</v>
      </c>
      <c r="J113" s="22" t="n">
        <v>0.15</v>
      </c>
      <c r="K113" s="21" t="n">
        <f aca="false">G113*H113*(1-J113)</f>
        <v>229.5</v>
      </c>
      <c r="L113" s="21" t="n">
        <f aca="false">G113*I113</f>
        <v>174</v>
      </c>
      <c r="M113" s="21" t="n">
        <f aca="false">K113-L113</f>
        <v>55.5</v>
      </c>
      <c r="N113" s="11" t="str">
        <f aca="false">TEXT(B113,"mmm")</f>
        <v>Feb</v>
      </c>
    </row>
    <row r="114" customFormat="false" ht="15" hidden="false" customHeight="false" outlineLevel="0" collapsed="false">
      <c r="A114" s="11" t="s">
        <v>175</v>
      </c>
      <c r="B114" s="20" t="n">
        <v>45693</v>
      </c>
      <c r="C114" s="11" t="s">
        <v>22</v>
      </c>
      <c r="D114" s="11" t="s">
        <v>37</v>
      </c>
      <c r="E114" s="11" t="s">
        <v>53</v>
      </c>
      <c r="F114" s="11" t="s">
        <v>44</v>
      </c>
      <c r="G114" s="11" t="n">
        <v>39</v>
      </c>
      <c r="H114" s="21" t="n">
        <v>9</v>
      </c>
      <c r="I114" s="21" t="n">
        <v>4.5</v>
      </c>
      <c r="J114" s="22" t="n">
        <v>0</v>
      </c>
      <c r="K114" s="21" t="n">
        <f aca="false">G114*H114*(1-J114)</f>
        <v>351</v>
      </c>
      <c r="L114" s="21" t="n">
        <f aca="false">G114*I114</f>
        <v>175.5</v>
      </c>
      <c r="M114" s="21" t="n">
        <f aca="false">K114-L114</f>
        <v>175.5</v>
      </c>
      <c r="N114" s="11" t="str">
        <f aca="false">TEXT(B114,"mmm")</f>
        <v>Feb</v>
      </c>
    </row>
    <row r="115" customFormat="false" ht="15" hidden="false" customHeight="false" outlineLevel="0" collapsed="false">
      <c r="A115" s="11" t="s">
        <v>176</v>
      </c>
      <c r="B115" s="20" t="n">
        <v>45693</v>
      </c>
      <c r="C115" s="11" t="s">
        <v>20</v>
      </c>
      <c r="D115" s="11" t="s">
        <v>33</v>
      </c>
      <c r="E115" s="11" t="s">
        <v>51</v>
      </c>
      <c r="F115" s="11" t="s">
        <v>42</v>
      </c>
      <c r="G115" s="11" t="n">
        <v>6</v>
      </c>
      <c r="H115" s="21" t="n">
        <v>90</v>
      </c>
      <c r="I115" s="21" t="n">
        <v>58</v>
      </c>
      <c r="J115" s="22" t="n">
        <v>0</v>
      </c>
      <c r="K115" s="21" t="n">
        <f aca="false">G115*H115*(1-J115)</f>
        <v>540</v>
      </c>
      <c r="L115" s="21" t="n">
        <f aca="false">G115*I115</f>
        <v>348</v>
      </c>
      <c r="M115" s="21" t="n">
        <f aca="false">K115-L115</f>
        <v>192</v>
      </c>
      <c r="N115" s="11" t="str">
        <f aca="false">TEXT(B115,"mmm")</f>
        <v>Feb</v>
      </c>
    </row>
    <row r="116" customFormat="false" ht="15" hidden="false" customHeight="false" outlineLevel="0" collapsed="false">
      <c r="A116" s="11" t="s">
        <v>177</v>
      </c>
      <c r="B116" s="20" t="n">
        <v>45693</v>
      </c>
      <c r="C116" s="11" t="s">
        <v>18</v>
      </c>
      <c r="D116" s="11" t="s">
        <v>33</v>
      </c>
      <c r="E116" s="11" t="s">
        <v>50</v>
      </c>
      <c r="F116" s="11" t="s">
        <v>42</v>
      </c>
      <c r="G116" s="11" t="n">
        <v>1</v>
      </c>
      <c r="H116" s="21" t="n">
        <v>780</v>
      </c>
      <c r="I116" s="21" t="n">
        <v>600</v>
      </c>
      <c r="J116" s="22" t="n">
        <v>0.15</v>
      </c>
      <c r="K116" s="21" t="n">
        <f aca="false">G116*H116*(1-J116)</f>
        <v>663</v>
      </c>
      <c r="L116" s="21" t="n">
        <f aca="false">G116*I116</f>
        <v>600</v>
      </c>
      <c r="M116" s="21" t="n">
        <f aca="false">K116-L116</f>
        <v>63</v>
      </c>
      <c r="N116" s="11" t="str">
        <f aca="false">TEXT(B116,"mmm")</f>
        <v>Feb</v>
      </c>
    </row>
    <row r="117" customFormat="false" ht="15" hidden="false" customHeight="false" outlineLevel="0" collapsed="false">
      <c r="A117" s="11" t="s">
        <v>178</v>
      </c>
      <c r="B117" s="20" t="n">
        <v>45693</v>
      </c>
      <c r="C117" s="11" t="s">
        <v>20</v>
      </c>
      <c r="D117" s="11" t="s">
        <v>35</v>
      </c>
      <c r="E117" s="11" t="s">
        <v>54</v>
      </c>
      <c r="F117" s="11" t="s">
        <v>44</v>
      </c>
      <c r="G117" s="11" t="n">
        <v>1</v>
      </c>
      <c r="H117" s="21" t="n">
        <v>320</v>
      </c>
      <c r="I117" s="21" t="n">
        <v>185</v>
      </c>
      <c r="J117" s="22" t="n">
        <v>0</v>
      </c>
      <c r="K117" s="21" t="n">
        <f aca="false">G117*H117*(1-J117)</f>
        <v>320</v>
      </c>
      <c r="L117" s="21" t="n">
        <f aca="false">G117*I117</f>
        <v>185</v>
      </c>
      <c r="M117" s="21" t="n">
        <f aca="false">K117-L117</f>
        <v>135</v>
      </c>
      <c r="N117" s="11" t="str">
        <f aca="false">TEXT(B117,"mmm")</f>
        <v>Feb</v>
      </c>
    </row>
    <row r="118" customFormat="false" ht="15" hidden="false" customHeight="false" outlineLevel="0" collapsed="false">
      <c r="A118" s="11" t="s">
        <v>179</v>
      </c>
      <c r="B118" s="20" t="n">
        <v>45694</v>
      </c>
      <c r="C118" s="11" t="s">
        <v>22</v>
      </c>
      <c r="D118" s="11" t="s">
        <v>37</v>
      </c>
      <c r="E118" s="11" t="s">
        <v>52</v>
      </c>
      <c r="F118" s="11" t="s">
        <v>44</v>
      </c>
      <c r="G118" s="11" t="n">
        <v>19</v>
      </c>
      <c r="H118" s="21" t="n">
        <v>12</v>
      </c>
      <c r="I118" s="21" t="n">
        <v>6</v>
      </c>
      <c r="J118" s="22" t="n">
        <v>0</v>
      </c>
      <c r="K118" s="21" t="n">
        <f aca="false">G118*H118*(1-J118)</f>
        <v>228</v>
      </c>
      <c r="L118" s="21" t="n">
        <f aca="false">G118*I118</f>
        <v>114</v>
      </c>
      <c r="M118" s="21" t="n">
        <f aca="false">K118-L118</f>
        <v>114</v>
      </c>
      <c r="N118" s="11" t="str">
        <f aca="false">TEXT(B118,"mmm")</f>
        <v>Feb</v>
      </c>
    </row>
    <row r="119" customFormat="false" ht="15" hidden="false" customHeight="false" outlineLevel="0" collapsed="false">
      <c r="A119" s="11" t="s">
        <v>180</v>
      </c>
      <c r="B119" s="20" t="n">
        <v>45694</v>
      </c>
      <c r="C119" s="11" t="s">
        <v>20</v>
      </c>
      <c r="D119" s="11" t="s">
        <v>33</v>
      </c>
      <c r="E119" s="11" t="s">
        <v>51</v>
      </c>
      <c r="F119" s="11" t="s">
        <v>44</v>
      </c>
      <c r="G119" s="11" t="n">
        <v>4</v>
      </c>
      <c r="H119" s="21" t="n">
        <v>90</v>
      </c>
      <c r="I119" s="21" t="n">
        <v>58</v>
      </c>
      <c r="J119" s="22" t="n">
        <v>0.1</v>
      </c>
      <c r="K119" s="21" t="n">
        <f aca="false">G119*H119*(1-J119)</f>
        <v>324</v>
      </c>
      <c r="L119" s="21" t="n">
        <f aca="false">G119*I119</f>
        <v>232</v>
      </c>
      <c r="M119" s="21" t="n">
        <f aca="false">K119-L119</f>
        <v>92</v>
      </c>
      <c r="N119" s="11" t="str">
        <f aca="false">TEXT(B119,"mmm")</f>
        <v>Feb</v>
      </c>
    </row>
    <row r="120" customFormat="false" ht="15" hidden="false" customHeight="false" outlineLevel="0" collapsed="false">
      <c r="A120" s="11" t="s">
        <v>181</v>
      </c>
      <c r="B120" s="20" t="n">
        <v>45694</v>
      </c>
      <c r="C120" s="11" t="s">
        <v>22</v>
      </c>
      <c r="D120" s="11" t="s">
        <v>37</v>
      </c>
      <c r="E120" s="11" t="s">
        <v>53</v>
      </c>
      <c r="F120" s="11" t="s">
        <v>45</v>
      </c>
      <c r="G120" s="11" t="n">
        <v>48</v>
      </c>
      <c r="H120" s="21" t="n">
        <v>9</v>
      </c>
      <c r="I120" s="21" t="n">
        <v>4.5</v>
      </c>
      <c r="J120" s="22" t="n">
        <v>0.15</v>
      </c>
      <c r="K120" s="21" t="n">
        <f aca="false">G120*H120*(1-J120)</f>
        <v>367.2</v>
      </c>
      <c r="L120" s="21" t="n">
        <f aca="false">G120*I120</f>
        <v>216</v>
      </c>
      <c r="M120" s="21" t="n">
        <f aca="false">K120-L120</f>
        <v>151.2</v>
      </c>
      <c r="N120" s="11" t="str">
        <f aca="false">TEXT(B120,"mmm")</f>
        <v>Feb</v>
      </c>
    </row>
    <row r="121" customFormat="false" ht="15" hidden="false" customHeight="false" outlineLevel="0" collapsed="false">
      <c r="A121" s="11" t="s">
        <v>182</v>
      </c>
      <c r="B121" s="20" t="n">
        <v>45695</v>
      </c>
      <c r="C121" s="11" t="s">
        <v>18</v>
      </c>
      <c r="D121" s="11" t="s">
        <v>33</v>
      </c>
      <c r="E121" s="11" t="s">
        <v>48</v>
      </c>
      <c r="F121" s="11" t="s">
        <v>44</v>
      </c>
      <c r="G121" s="11" t="n">
        <v>1</v>
      </c>
      <c r="H121" s="21" t="n">
        <v>520</v>
      </c>
      <c r="I121" s="21" t="n">
        <v>415</v>
      </c>
      <c r="J121" s="22" t="n">
        <v>0</v>
      </c>
      <c r="K121" s="21" t="n">
        <f aca="false">G121*H121*(1-J121)</f>
        <v>520</v>
      </c>
      <c r="L121" s="21" t="n">
        <f aca="false">G121*I121</f>
        <v>415</v>
      </c>
      <c r="M121" s="21" t="n">
        <f aca="false">K121-L121</f>
        <v>105</v>
      </c>
      <c r="N121" s="11" t="str">
        <f aca="false">TEXT(B121,"mmm")</f>
        <v>Feb</v>
      </c>
    </row>
    <row r="122" customFormat="false" ht="15" hidden="false" customHeight="false" outlineLevel="0" collapsed="false">
      <c r="A122" s="11" t="s">
        <v>183</v>
      </c>
      <c r="B122" s="20" t="n">
        <v>45695</v>
      </c>
      <c r="C122" s="11" t="s">
        <v>22</v>
      </c>
      <c r="D122" s="11" t="s">
        <v>35</v>
      </c>
      <c r="E122" s="11" t="s">
        <v>56</v>
      </c>
      <c r="F122" s="11" t="s">
        <v>44</v>
      </c>
      <c r="G122" s="11" t="n">
        <v>3</v>
      </c>
      <c r="H122" s="21" t="n">
        <v>110</v>
      </c>
      <c r="I122" s="21" t="n">
        <v>62</v>
      </c>
      <c r="J122" s="22" t="n">
        <v>0.05</v>
      </c>
      <c r="K122" s="21" t="n">
        <f aca="false">G122*H122*(1-J122)</f>
        <v>313.5</v>
      </c>
      <c r="L122" s="21" t="n">
        <f aca="false">G122*I122</f>
        <v>186</v>
      </c>
      <c r="M122" s="21" t="n">
        <f aca="false">K122-L122</f>
        <v>127.5</v>
      </c>
      <c r="N122" s="11" t="str">
        <f aca="false">TEXT(B122,"mmm")</f>
        <v>Feb</v>
      </c>
    </row>
    <row r="123" customFormat="false" ht="15" hidden="false" customHeight="false" outlineLevel="0" collapsed="false">
      <c r="A123" s="11" t="s">
        <v>184</v>
      </c>
      <c r="B123" s="20" t="n">
        <v>45696</v>
      </c>
      <c r="C123" s="11" t="s">
        <v>18</v>
      </c>
      <c r="D123" s="11" t="s">
        <v>37</v>
      </c>
      <c r="E123" s="11" t="s">
        <v>49</v>
      </c>
      <c r="F123" s="11" t="s">
        <v>44</v>
      </c>
      <c r="G123" s="11" t="n">
        <v>37</v>
      </c>
      <c r="H123" s="21" t="n">
        <v>28</v>
      </c>
      <c r="I123" s="21" t="n">
        <v>17</v>
      </c>
      <c r="J123" s="22" t="n">
        <v>0.05</v>
      </c>
      <c r="K123" s="21" t="n">
        <f aca="false">G123*H123*(1-J123)</f>
        <v>984.2</v>
      </c>
      <c r="L123" s="21" t="n">
        <f aca="false">G123*I123</f>
        <v>629</v>
      </c>
      <c r="M123" s="21" t="n">
        <f aca="false">K123-L123</f>
        <v>355.2</v>
      </c>
      <c r="N123" s="11" t="str">
        <f aca="false">TEXT(B123,"mmm")</f>
        <v>Feb</v>
      </c>
    </row>
    <row r="124" customFormat="false" ht="15" hidden="false" customHeight="false" outlineLevel="0" collapsed="false">
      <c r="A124" s="11" t="s">
        <v>185</v>
      </c>
      <c r="B124" s="20" t="n">
        <v>45696</v>
      </c>
      <c r="C124" s="11" t="s">
        <v>22</v>
      </c>
      <c r="D124" s="11" t="s">
        <v>37</v>
      </c>
      <c r="E124" s="11" t="s">
        <v>52</v>
      </c>
      <c r="F124" s="11" t="s">
        <v>45</v>
      </c>
      <c r="G124" s="11" t="n">
        <v>18</v>
      </c>
      <c r="H124" s="21" t="n">
        <v>12</v>
      </c>
      <c r="I124" s="21" t="n">
        <v>6</v>
      </c>
      <c r="J124" s="22" t="n">
        <v>0.1</v>
      </c>
      <c r="K124" s="21" t="n">
        <f aca="false">G124*H124*(1-J124)</f>
        <v>194.4</v>
      </c>
      <c r="L124" s="21" t="n">
        <f aca="false">G124*I124</f>
        <v>108</v>
      </c>
      <c r="M124" s="21" t="n">
        <f aca="false">K124-L124</f>
        <v>86.4</v>
      </c>
      <c r="N124" s="11" t="str">
        <f aca="false">TEXT(B124,"mmm")</f>
        <v>Feb</v>
      </c>
    </row>
    <row r="125" customFormat="false" ht="15" hidden="false" customHeight="false" outlineLevel="0" collapsed="false">
      <c r="A125" s="11" t="s">
        <v>186</v>
      </c>
      <c r="B125" s="20" t="n">
        <v>45696</v>
      </c>
      <c r="C125" s="11" t="s">
        <v>18</v>
      </c>
      <c r="D125" s="11" t="s">
        <v>33</v>
      </c>
      <c r="E125" s="11" t="s">
        <v>50</v>
      </c>
      <c r="F125" s="11" t="s">
        <v>42</v>
      </c>
      <c r="G125" s="11" t="n">
        <v>3</v>
      </c>
      <c r="H125" s="21" t="n">
        <v>780</v>
      </c>
      <c r="I125" s="21" t="n">
        <v>600</v>
      </c>
      <c r="J125" s="22" t="n">
        <v>0</v>
      </c>
      <c r="K125" s="21" t="n">
        <f aca="false">G125*H125*(1-J125)</f>
        <v>2340</v>
      </c>
      <c r="L125" s="21" t="n">
        <f aca="false">G125*I125</f>
        <v>1800</v>
      </c>
      <c r="M125" s="21" t="n">
        <f aca="false">K125-L125</f>
        <v>540</v>
      </c>
      <c r="N125" s="11" t="str">
        <f aca="false">TEXT(B125,"mmm")</f>
        <v>Feb</v>
      </c>
    </row>
    <row r="126" customFormat="false" ht="15" hidden="false" customHeight="false" outlineLevel="0" collapsed="false">
      <c r="A126" s="11" t="s">
        <v>187</v>
      </c>
      <c r="B126" s="20" t="n">
        <v>45696</v>
      </c>
      <c r="C126" s="11" t="s">
        <v>20</v>
      </c>
      <c r="D126" s="11" t="s">
        <v>35</v>
      </c>
      <c r="E126" s="11" t="s">
        <v>55</v>
      </c>
      <c r="F126" s="11" t="s">
        <v>44</v>
      </c>
      <c r="G126" s="11" t="n">
        <v>2</v>
      </c>
      <c r="H126" s="21" t="n">
        <v>150</v>
      </c>
      <c r="I126" s="21" t="n">
        <v>82</v>
      </c>
      <c r="J126" s="22" t="n">
        <v>0.05</v>
      </c>
      <c r="K126" s="21" t="n">
        <f aca="false">G126*H126*(1-J126)</f>
        <v>285</v>
      </c>
      <c r="L126" s="21" t="n">
        <f aca="false">G126*I126</f>
        <v>164</v>
      </c>
      <c r="M126" s="21" t="n">
        <f aca="false">K126-L126</f>
        <v>121</v>
      </c>
      <c r="N126" s="11" t="str">
        <f aca="false">TEXT(B126,"mmm")</f>
        <v>Feb</v>
      </c>
    </row>
    <row r="127" customFormat="false" ht="15" hidden="false" customHeight="false" outlineLevel="0" collapsed="false">
      <c r="A127" s="11" t="s">
        <v>188</v>
      </c>
      <c r="B127" s="20" t="n">
        <v>45697</v>
      </c>
      <c r="C127" s="11" t="s">
        <v>24</v>
      </c>
      <c r="D127" s="11" t="s">
        <v>33</v>
      </c>
      <c r="E127" s="11" t="s">
        <v>50</v>
      </c>
      <c r="F127" s="11" t="s">
        <v>42</v>
      </c>
      <c r="G127" s="11" t="n">
        <v>1</v>
      </c>
      <c r="H127" s="21" t="n">
        <v>780</v>
      </c>
      <c r="I127" s="21" t="n">
        <v>600</v>
      </c>
      <c r="J127" s="22" t="n">
        <v>0.05</v>
      </c>
      <c r="K127" s="21" t="n">
        <f aca="false">G127*H127*(1-J127)</f>
        <v>741</v>
      </c>
      <c r="L127" s="21" t="n">
        <f aca="false">G127*I127</f>
        <v>600</v>
      </c>
      <c r="M127" s="21" t="n">
        <f aca="false">K127-L127</f>
        <v>141</v>
      </c>
      <c r="N127" s="11" t="str">
        <f aca="false">TEXT(B127,"mmm")</f>
        <v>Feb</v>
      </c>
    </row>
    <row r="128" customFormat="false" ht="15" hidden="false" customHeight="false" outlineLevel="0" collapsed="false">
      <c r="A128" s="11" t="s">
        <v>189</v>
      </c>
      <c r="B128" s="20" t="n">
        <v>45698</v>
      </c>
      <c r="C128" s="11" t="s">
        <v>20</v>
      </c>
      <c r="D128" s="11" t="s">
        <v>33</v>
      </c>
      <c r="E128" s="11" t="s">
        <v>51</v>
      </c>
      <c r="F128" s="11" t="s">
        <v>42</v>
      </c>
      <c r="G128" s="11" t="n">
        <v>5</v>
      </c>
      <c r="H128" s="21" t="n">
        <v>90</v>
      </c>
      <c r="I128" s="21" t="n">
        <v>58</v>
      </c>
      <c r="J128" s="22" t="n">
        <v>0.15</v>
      </c>
      <c r="K128" s="21" t="n">
        <f aca="false">G128*H128*(1-J128)</f>
        <v>382.5</v>
      </c>
      <c r="L128" s="21" t="n">
        <f aca="false">G128*I128</f>
        <v>290</v>
      </c>
      <c r="M128" s="21" t="n">
        <f aca="false">K128-L128</f>
        <v>92.5</v>
      </c>
      <c r="N128" s="11" t="str">
        <f aca="false">TEXT(B128,"mmm")</f>
        <v>Feb</v>
      </c>
    </row>
    <row r="129" customFormat="false" ht="15" hidden="false" customHeight="false" outlineLevel="0" collapsed="false">
      <c r="A129" s="11" t="s">
        <v>190</v>
      </c>
      <c r="B129" s="20" t="n">
        <v>45698</v>
      </c>
      <c r="C129" s="11" t="s">
        <v>24</v>
      </c>
      <c r="D129" s="11" t="s">
        <v>37</v>
      </c>
      <c r="E129" s="11" t="s">
        <v>53</v>
      </c>
      <c r="F129" s="11" t="s">
        <v>45</v>
      </c>
      <c r="G129" s="11" t="n">
        <v>51</v>
      </c>
      <c r="H129" s="21" t="n">
        <v>9</v>
      </c>
      <c r="I129" s="21" t="n">
        <v>4.5</v>
      </c>
      <c r="J129" s="22" t="n">
        <v>0.15</v>
      </c>
      <c r="K129" s="21" t="n">
        <f aca="false">G129*H129*(1-J129)</f>
        <v>390.15</v>
      </c>
      <c r="L129" s="21" t="n">
        <f aca="false">G129*I129</f>
        <v>229.5</v>
      </c>
      <c r="M129" s="21" t="n">
        <f aca="false">K129-L129</f>
        <v>160.65</v>
      </c>
      <c r="N129" s="11" t="str">
        <f aca="false">TEXT(B129,"mmm")</f>
        <v>Feb</v>
      </c>
    </row>
    <row r="130" customFormat="false" ht="15" hidden="false" customHeight="false" outlineLevel="0" collapsed="false">
      <c r="A130" s="11" t="s">
        <v>191</v>
      </c>
      <c r="B130" s="20" t="n">
        <v>45698</v>
      </c>
      <c r="C130" s="11" t="s">
        <v>22</v>
      </c>
      <c r="D130" s="11" t="s">
        <v>37</v>
      </c>
      <c r="E130" s="11" t="s">
        <v>49</v>
      </c>
      <c r="F130" s="11" t="s">
        <v>44</v>
      </c>
      <c r="G130" s="11" t="n">
        <v>23</v>
      </c>
      <c r="H130" s="21" t="n">
        <v>28</v>
      </c>
      <c r="I130" s="21" t="n">
        <v>17</v>
      </c>
      <c r="J130" s="22" t="n">
        <v>0.1</v>
      </c>
      <c r="K130" s="21" t="n">
        <f aca="false">G130*H130*(1-J130)</f>
        <v>579.6</v>
      </c>
      <c r="L130" s="21" t="n">
        <f aca="false">G130*I130</f>
        <v>391</v>
      </c>
      <c r="M130" s="21" t="n">
        <f aca="false">K130-L130</f>
        <v>188.6</v>
      </c>
      <c r="N130" s="11" t="str">
        <f aca="false">TEXT(B130,"mmm")</f>
        <v>Feb</v>
      </c>
    </row>
    <row r="131" customFormat="false" ht="15" hidden="false" customHeight="false" outlineLevel="0" collapsed="false">
      <c r="A131" s="11" t="s">
        <v>192</v>
      </c>
      <c r="B131" s="20" t="n">
        <v>45698</v>
      </c>
      <c r="C131" s="11" t="s">
        <v>24</v>
      </c>
      <c r="D131" s="11" t="s">
        <v>33</v>
      </c>
      <c r="E131" s="11" t="s">
        <v>50</v>
      </c>
      <c r="F131" s="11" t="s">
        <v>44</v>
      </c>
      <c r="G131" s="11" t="n">
        <v>2</v>
      </c>
      <c r="H131" s="21" t="n">
        <v>780</v>
      </c>
      <c r="I131" s="21" t="n">
        <v>600</v>
      </c>
      <c r="J131" s="22" t="n">
        <v>0</v>
      </c>
      <c r="K131" s="21" t="n">
        <f aca="false">G131*H131*(1-J131)</f>
        <v>1560</v>
      </c>
      <c r="L131" s="21" t="n">
        <f aca="false">G131*I131</f>
        <v>1200</v>
      </c>
      <c r="M131" s="21" t="n">
        <f aca="false">K131-L131</f>
        <v>360</v>
      </c>
      <c r="N131" s="11" t="str">
        <f aca="false">TEXT(B131,"mmm")</f>
        <v>Feb</v>
      </c>
    </row>
    <row r="132" customFormat="false" ht="15" hidden="false" customHeight="false" outlineLevel="0" collapsed="false">
      <c r="A132" s="11" t="s">
        <v>193</v>
      </c>
      <c r="B132" s="20" t="n">
        <v>45699</v>
      </c>
      <c r="C132" s="11" t="s">
        <v>20</v>
      </c>
      <c r="D132" s="11" t="s">
        <v>33</v>
      </c>
      <c r="E132" s="11" t="s">
        <v>48</v>
      </c>
      <c r="F132" s="11" t="s">
        <v>44</v>
      </c>
      <c r="G132" s="11" t="n">
        <v>2</v>
      </c>
      <c r="H132" s="21" t="n">
        <v>520</v>
      </c>
      <c r="I132" s="21" t="n">
        <v>415</v>
      </c>
      <c r="J132" s="22" t="n">
        <v>0.05</v>
      </c>
      <c r="K132" s="21" t="n">
        <f aca="false">G132*H132*(1-J132)</f>
        <v>988</v>
      </c>
      <c r="L132" s="21" t="n">
        <f aca="false">G132*I132</f>
        <v>830</v>
      </c>
      <c r="M132" s="21" t="n">
        <f aca="false">K132-L132</f>
        <v>158</v>
      </c>
      <c r="N132" s="11" t="str">
        <f aca="false">TEXT(B132,"mmm")</f>
        <v>Feb</v>
      </c>
    </row>
    <row r="133" customFormat="false" ht="15" hidden="false" customHeight="false" outlineLevel="0" collapsed="false">
      <c r="A133" s="11" t="s">
        <v>194</v>
      </c>
      <c r="B133" s="20" t="n">
        <v>45699</v>
      </c>
      <c r="C133" s="11" t="s">
        <v>22</v>
      </c>
      <c r="D133" s="11" t="s">
        <v>37</v>
      </c>
      <c r="E133" s="11" t="s">
        <v>52</v>
      </c>
      <c r="F133" s="11" t="s">
        <v>45</v>
      </c>
      <c r="G133" s="11" t="n">
        <v>24</v>
      </c>
      <c r="H133" s="21" t="n">
        <v>12</v>
      </c>
      <c r="I133" s="21" t="n">
        <v>6</v>
      </c>
      <c r="J133" s="22" t="n">
        <v>0.1</v>
      </c>
      <c r="K133" s="21" t="n">
        <f aca="false">G133*H133*(1-J133)</f>
        <v>259.2</v>
      </c>
      <c r="L133" s="21" t="n">
        <f aca="false">G133*I133</f>
        <v>144</v>
      </c>
      <c r="M133" s="21" t="n">
        <f aca="false">K133-L133</f>
        <v>115.2</v>
      </c>
      <c r="N133" s="11" t="str">
        <f aca="false">TEXT(B133,"mmm")</f>
        <v>Feb</v>
      </c>
    </row>
    <row r="134" customFormat="false" ht="15" hidden="false" customHeight="false" outlineLevel="0" collapsed="false">
      <c r="A134" s="11" t="s">
        <v>195</v>
      </c>
      <c r="B134" s="20" t="n">
        <v>45699</v>
      </c>
      <c r="C134" s="11" t="s">
        <v>20</v>
      </c>
      <c r="D134" s="11" t="s">
        <v>35</v>
      </c>
      <c r="E134" s="11" t="s">
        <v>55</v>
      </c>
      <c r="F134" s="11" t="s">
        <v>42</v>
      </c>
      <c r="G134" s="11" t="n">
        <v>2</v>
      </c>
      <c r="H134" s="21" t="n">
        <v>150</v>
      </c>
      <c r="I134" s="21" t="n">
        <v>82</v>
      </c>
      <c r="J134" s="22" t="n">
        <v>0.05</v>
      </c>
      <c r="K134" s="21" t="n">
        <f aca="false">G134*H134*(1-J134)</f>
        <v>285</v>
      </c>
      <c r="L134" s="21" t="n">
        <f aca="false">G134*I134</f>
        <v>164</v>
      </c>
      <c r="M134" s="21" t="n">
        <f aca="false">K134-L134</f>
        <v>121</v>
      </c>
      <c r="N134" s="11" t="str">
        <f aca="false">TEXT(B134,"mmm")</f>
        <v>Feb</v>
      </c>
    </row>
    <row r="135" customFormat="false" ht="15" hidden="false" customHeight="false" outlineLevel="0" collapsed="false">
      <c r="A135" s="11" t="s">
        <v>196</v>
      </c>
      <c r="B135" s="20" t="n">
        <v>45699</v>
      </c>
      <c r="C135" s="11" t="s">
        <v>24</v>
      </c>
      <c r="D135" s="11" t="s">
        <v>37</v>
      </c>
      <c r="E135" s="11" t="s">
        <v>52</v>
      </c>
      <c r="F135" s="11" t="s">
        <v>44</v>
      </c>
      <c r="G135" s="11" t="n">
        <v>31</v>
      </c>
      <c r="H135" s="21" t="n">
        <v>12</v>
      </c>
      <c r="I135" s="21" t="n">
        <v>6</v>
      </c>
      <c r="J135" s="22" t="n">
        <v>0</v>
      </c>
      <c r="K135" s="21" t="n">
        <f aca="false">G135*H135*(1-J135)</f>
        <v>372</v>
      </c>
      <c r="L135" s="21" t="n">
        <f aca="false">G135*I135</f>
        <v>186</v>
      </c>
      <c r="M135" s="21" t="n">
        <f aca="false">K135-L135</f>
        <v>186</v>
      </c>
      <c r="N135" s="11" t="str">
        <f aca="false">TEXT(B135,"mmm")</f>
        <v>Feb</v>
      </c>
    </row>
    <row r="136" customFormat="false" ht="15" hidden="false" customHeight="false" outlineLevel="0" collapsed="false">
      <c r="A136" s="11" t="s">
        <v>197</v>
      </c>
      <c r="B136" s="20" t="n">
        <v>45700</v>
      </c>
      <c r="C136" s="11" t="s">
        <v>22</v>
      </c>
      <c r="D136" s="11" t="s">
        <v>37</v>
      </c>
      <c r="E136" s="11" t="s">
        <v>52</v>
      </c>
      <c r="F136" s="11" t="s">
        <v>45</v>
      </c>
      <c r="G136" s="11" t="n">
        <v>84</v>
      </c>
      <c r="H136" s="21" t="n">
        <v>12</v>
      </c>
      <c r="I136" s="21" t="n">
        <v>6</v>
      </c>
      <c r="J136" s="22" t="n">
        <v>0.1</v>
      </c>
      <c r="K136" s="21" t="n">
        <f aca="false">G136*H136*(1-J136)</f>
        <v>907.2</v>
      </c>
      <c r="L136" s="21" t="n">
        <f aca="false">G136*I136</f>
        <v>504</v>
      </c>
      <c r="M136" s="21" t="n">
        <f aca="false">K136-L136</f>
        <v>403.2</v>
      </c>
      <c r="N136" s="11" t="str">
        <f aca="false">TEXT(B136,"mmm")</f>
        <v>Feb</v>
      </c>
    </row>
    <row r="137" customFormat="false" ht="15" hidden="false" customHeight="false" outlineLevel="0" collapsed="false">
      <c r="A137" s="11" t="s">
        <v>198</v>
      </c>
      <c r="B137" s="20" t="n">
        <v>45701</v>
      </c>
      <c r="C137" s="11" t="s">
        <v>20</v>
      </c>
      <c r="D137" s="11" t="s">
        <v>37</v>
      </c>
      <c r="E137" s="11" t="s">
        <v>53</v>
      </c>
      <c r="F137" s="11" t="s">
        <v>44</v>
      </c>
      <c r="G137" s="11" t="n">
        <v>25</v>
      </c>
      <c r="H137" s="21" t="n">
        <v>9</v>
      </c>
      <c r="I137" s="21" t="n">
        <v>4.5</v>
      </c>
      <c r="J137" s="22" t="n">
        <v>0.05</v>
      </c>
      <c r="K137" s="21" t="n">
        <f aca="false">G137*H137*(1-J137)</f>
        <v>213.75</v>
      </c>
      <c r="L137" s="21" t="n">
        <f aca="false">G137*I137</f>
        <v>112.5</v>
      </c>
      <c r="M137" s="21" t="n">
        <f aca="false">K137-L137</f>
        <v>101.25</v>
      </c>
      <c r="N137" s="11" t="str">
        <f aca="false">TEXT(B137,"mmm")</f>
        <v>Feb</v>
      </c>
    </row>
    <row r="138" customFormat="false" ht="15" hidden="false" customHeight="false" outlineLevel="0" collapsed="false">
      <c r="A138" s="11" t="s">
        <v>199</v>
      </c>
      <c r="B138" s="20" t="n">
        <v>45701</v>
      </c>
      <c r="C138" s="11" t="s">
        <v>24</v>
      </c>
      <c r="D138" s="11" t="s">
        <v>33</v>
      </c>
      <c r="E138" s="11" t="s">
        <v>51</v>
      </c>
      <c r="F138" s="11" t="s">
        <v>42</v>
      </c>
      <c r="G138" s="11" t="n">
        <v>5</v>
      </c>
      <c r="H138" s="21" t="n">
        <v>90</v>
      </c>
      <c r="I138" s="21" t="n">
        <v>58</v>
      </c>
      <c r="J138" s="22" t="n">
        <v>0</v>
      </c>
      <c r="K138" s="21" t="n">
        <f aca="false">G138*H138*(1-J138)</f>
        <v>450</v>
      </c>
      <c r="L138" s="21" t="n">
        <f aca="false">G138*I138</f>
        <v>290</v>
      </c>
      <c r="M138" s="21" t="n">
        <f aca="false">K138-L138</f>
        <v>160</v>
      </c>
      <c r="N138" s="11" t="str">
        <f aca="false">TEXT(B138,"mmm")</f>
        <v>Feb</v>
      </c>
    </row>
    <row r="139" customFormat="false" ht="15" hidden="false" customHeight="false" outlineLevel="0" collapsed="false">
      <c r="A139" s="11" t="s">
        <v>200</v>
      </c>
      <c r="B139" s="20" t="n">
        <v>45701</v>
      </c>
      <c r="C139" s="11" t="s">
        <v>18</v>
      </c>
      <c r="D139" s="11" t="s">
        <v>33</v>
      </c>
      <c r="E139" s="11" t="s">
        <v>48</v>
      </c>
      <c r="F139" s="11" t="s">
        <v>42</v>
      </c>
      <c r="G139" s="11" t="n">
        <v>4</v>
      </c>
      <c r="H139" s="21" t="n">
        <v>520</v>
      </c>
      <c r="I139" s="21" t="n">
        <v>415</v>
      </c>
      <c r="J139" s="22" t="n">
        <v>0.15</v>
      </c>
      <c r="K139" s="21" t="n">
        <f aca="false">G139*H139*(1-J139)</f>
        <v>1768</v>
      </c>
      <c r="L139" s="21" t="n">
        <f aca="false">G139*I139</f>
        <v>1660</v>
      </c>
      <c r="M139" s="21" t="n">
        <f aca="false">K139-L139</f>
        <v>108</v>
      </c>
      <c r="N139" s="11" t="str">
        <f aca="false">TEXT(B139,"mmm")</f>
        <v>Feb</v>
      </c>
    </row>
    <row r="140" customFormat="false" ht="15" hidden="false" customHeight="false" outlineLevel="0" collapsed="false">
      <c r="A140" s="11" t="s">
        <v>201</v>
      </c>
      <c r="B140" s="20" t="n">
        <v>45702</v>
      </c>
      <c r="C140" s="11" t="s">
        <v>24</v>
      </c>
      <c r="D140" s="11" t="s">
        <v>37</v>
      </c>
      <c r="E140" s="11" t="s">
        <v>52</v>
      </c>
      <c r="F140" s="11" t="s">
        <v>44</v>
      </c>
      <c r="G140" s="11" t="n">
        <v>25</v>
      </c>
      <c r="H140" s="21" t="n">
        <v>12</v>
      </c>
      <c r="I140" s="21" t="n">
        <v>6</v>
      </c>
      <c r="J140" s="22" t="n">
        <v>0</v>
      </c>
      <c r="K140" s="21" t="n">
        <f aca="false">G140*H140*(1-J140)</f>
        <v>300</v>
      </c>
      <c r="L140" s="21" t="n">
        <f aca="false">G140*I140</f>
        <v>150</v>
      </c>
      <c r="M140" s="21" t="n">
        <f aca="false">K140-L140</f>
        <v>150</v>
      </c>
      <c r="N140" s="11" t="str">
        <f aca="false">TEXT(B140,"mmm")</f>
        <v>Feb</v>
      </c>
    </row>
    <row r="141" customFormat="false" ht="15" hidden="false" customHeight="false" outlineLevel="0" collapsed="false">
      <c r="A141" s="11" t="s">
        <v>202</v>
      </c>
      <c r="B141" s="20" t="n">
        <v>45702</v>
      </c>
      <c r="C141" s="11" t="s">
        <v>20</v>
      </c>
      <c r="D141" s="11" t="s">
        <v>33</v>
      </c>
      <c r="E141" s="11" t="s">
        <v>50</v>
      </c>
      <c r="F141" s="11" t="s">
        <v>44</v>
      </c>
      <c r="G141" s="11" t="n">
        <v>2</v>
      </c>
      <c r="H141" s="21" t="n">
        <v>780</v>
      </c>
      <c r="I141" s="21" t="n">
        <v>600</v>
      </c>
      <c r="J141" s="22" t="n">
        <v>0</v>
      </c>
      <c r="K141" s="21" t="n">
        <f aca="false">G141*H141*(1-J141)</f>
        <v>1560</v>
      </c>
      <c r="L141" s="21" t="n">
        <f aca="false">G141*I141</f>
        <v>1200</v>
      </c>
      <c r="M141" s="21" t="n">
        <f aca="false">K141-L141</f>
        <v>360</v>
      </c>
      <c r="N141" s="11" t="str">
        <f aca="false">TEXT(B141,"mmm")</f>
        <v>Feb</v>
      </c>
    </row>
    <row r="142" customFormat="false" ht="15" hidden="false" customHeight="false" outlineLevel="0" collapsed="false">
      <c r="A142" s="11" t="s">
        <v>203</v>
      </c>
      <c r="B142" s="20" t="n">
        <v>45702</v>
      </c>
      <c r="C142" s="11" t="s">
        <v>18</v>
      </c>
      <c r="D142" s="11" t="s">
        <v>37</v>
      </c>
      <c r="E142" s="11" t="s">
        <v>52</v>
      </c>
      <c r="F142" s="11" t="s">
        <v>44</v>
      </c>
      <c r="G142" s="11" t="n">
        <v>36</v>
      </c>
      <c r="H142" s="21" t="n">
        <v>12</v>
      </c>
      <c r="I142" s="21" t="n">
        <v>6</v>
      </c>
      <c r="J142" s="22" t="n">
        <v>0</v>
      </c>
      <c r="K142" s="21" t="n">
        <f aca="false">G142*H142*(1-J142)</f>
        <v>432</v>
      </c>
      <c r="L142" s="21" t="n">
        <f aca="false">G142*I142</f>
        <v>216</v>
      </c>
      <c r="M142" s="21" t="n">
        <f aca="false">K142-L142</f>
        <v>216</v>
      </c>
      <c r="N142" s="11" t="str">
        <f aca="false">TEXT(B142,"mmm")</f>
        <v>Feb</v>
      </c>
    </row>
    <row r="143" customFormat="false" ht="15" hidden="false" customHeight="false" outlineLevel="0" collapsed="false">
      <c r="A143" s="11" t="s">
        <v>204</v>
      </c>
      <c r="B143" s="20" t="n">
        <v>45702</v>
      </c>
      <c r="C143" s="11" t="s">
        <v>20</v>
      </c>
      <c r="D143" s="11" t="s">
        <v>35</v>
      </c>
      <c r="E143" s="11" t="s">
        <v>54</v>
      </c>
      <c r="F143" s="11" t="s">
        <v>44</v>
      </c>
      <c r="G143" s="11" t="n">
        <v>1</v>
      </c>
      <c r="H143" s="21" t="n">
        <v>320</v>
      </c>
      <c r="I143" s="21" t="n">
        <v>185</v>
      </c>
      <c r="J143" s="22" t="n">
        <v>0</v>
      </c>
      <c r="K143" s="21" t="n">
        <f aca="false">G143*H143*(1-J143)</f>
        <v>320</v>
      </c>
      <c r="L143" s="21" t="n">
        <f aca="false">G143*I143</f>
        <v>185</v>
      </c>
      <c r="M143" s="21" t="n">
        <f aca="false">K143-L143</f>
        <v>135</v>
      </c>
      <c r="N143" s="11" t="str">
        <f aca="false">TEXT(B143,"mmm")</f>
        <v>Feb</v>
      </c>
    </row>
    <row r="144" customFormat="false" ht="15" hidden="false" customHeight="false" outlineLevel="0" collapsed="false">
      <c r="A144" s="11" t="s">
        <v>205</v>
      </c>
      <c r="B144" s="20" t="n">
        <v>45702</v>
      </c>
      <c r="C144" s="11" t="s">
        <v>18</v>
      </c>
      <c r="D144" s="11" t="s">
        <v>37</v>
      </c>
      <c r="E144" s="11" t="s">
        <v>52</v>
      </c>
      <c r="F144" s="11" t="s">
        <v>44</v>
      </c>
      <c r="G144" s="11" t="n">
        <v>8</v>
      </c>
      <c r="H144" s="21" t="n">
        <v>12</v>
      </c>
      <c r="I144" s="21" t="n">
        <v>6</v>
      </c>
      <c r="J144" s="22" t="n">
        <v>0.05</v>
      </c>
      <c r="K144" s="21" t="n">
        <f aca="false">G144*H144*(1-J144)</f>
        <v>91.2</v>
      </c>
      <c r="L144" s="21" t="n">
        <f aca="false">G144*I144</f>
        <v>48</v>
      </c>
      <c r="M144" s="21" t="n">
        <f aca="false">K144-L144</f>
        <v>43.2</v>
      </c>
      <c r="N144" s="11" t="str">
        <f aca="false">TEXT(B144,"mmm")</f>
        <v>Feb</v>
      </c>
    </row>
    <row r="145" customFormat="false" ht="15" hidden="false" customHeight="false" outlineLevel="0" collapsed="false">
      <c r="A145" s="11" t="s">
        <v>206</v>
      </c>
      <c r="B145" s="20" t="n">
        <v>45702</v>
      </c>
      <c r="C145" s="11" t="s">
        <v>24</v>
      </c>
      <c r="D145" s="11" t="s">
        <v>33</v>
      </c>
      <c r="E145" s="11" t="s">
        <v>51</v>
      </c>
      <c r="F145" s="11" t="s">
        <v>44</v>
      </c>
      <c r="G145" s="11" t="n">
        <v>5</v>
      </c>
      <c r="H145" s="21" t="n">
        <v>90</v>
      </c>
      <c r="I145" s="21" t="n">
        <v>58</v>
      </c>
      <c r="J145" s="22" t="n">
        <v>0</v>
      </c>
      <c r="K145" s="21" t="n">
        <f aca="false">G145*H145*(1-J145)</f>
        <v>450</v>
      </c>
      <c r="L145" s="21" t="n">
        <f aca="false">G145*I145</f>
        <v>290</v>
      </c>
      <c r="M145" s="21" t="n">
        <f aca="false">K145-L145</f>
        <v>160</v>
      </c>
      <c r="N145" s="11" t="str">
        <f aca="false">TEXT(B145,"mmm")</f>
        <v>Feb</v>
      </c>
    </row>
    <row r="146" customFormat="false" ht="15" hidden="false" customHeight="false" outlineLevel="0" collapsed="false">
      <c r="A146" s="11" t="s">
        <v>207</v>
      </c>
      <c r="B146" s="20" t="n">
        <v>45702</v>
      </c>
      <c r="C146" s="11" t="s">
        <v>24</v>
      </c>
      <c r="D146" s="11" t="s">
        <v>33</v>
      </c>
      <c r="E146" s="11" t="s">
        <v>48</v>
      </c>
      <c r="F146" s="11" t="s">
        <v>42</v>
      </c>
      <c r="G146" s="11" t="n">
        <v>2</v>
      </c>
      <c r="H146" s="21" t="n">
        <v>520</v>
      </c>
      <c r="I146" s="21" t="n">
        <v>415</v>
      </c>
      <c r="J146" s="22" t="n">
        <v>0</v>
      </c>
      <c r="K146" s="21" t="n">
        <f aca="false">G146*H146*(1-J146)</f>
        <v>1040</v>
      </c>
      <c r="L146" s="21" t="n">
        <f aca="false">G146*I146</f>
        <v>830</v>
      </c>
      <c r="M146" s="21" t="n">
        <f aca="false">K146-L146</f>
        <v>210</v>
      </c>
      <c r="N146" s="11" t="str">
        <f aca="false">TEXT(B146,"mmm")</f>
        <v>Feb</v>
      </c>
    </row>
    <row r="147" customFormat="false" ht="15" hidden="false" customHeight="false" outlineLevel="0" collapsed="false">
      <c r="A147" s="11" t="s">
        <v>208</v>
      </c>
      <c r="B147" s="20" t="n">
        <v>45702</v>
      </c>
      <c r="C147" s="11" t="s">
        <v>24</v>
      </c>
      <c r="D147" s="11" t="s">
        <v>35</v>
      </c>
      <c r="E147" s="11" t="s">
        <v>56</v>
      </c>
      <c r="F147" s="11" t="s">
        <v>44</v>
      </c>
      <c r="G147" s="11" t="n">
        <v>2</v>
      </c>
      <c r="H147" s="21" t="n">
        <v>110</v>
      </c>
      <c r="I147" s="21" t="n">
        <v>62</v>
      </c>
      <c r="J147" s="22" t="n">
        <v>0</v>
      </c>
      <c r="K147" s="21" t="n">
        <f aca="false">G147*H147*(1-J147)</f>
        <v>220</v>
      </c>
      <c r="L147" s="21" t="n">
        <f aca="false">G147*I147</f>
        <v>124</v>
      </c>
      <c r="M147" s="21" t="n">
        <f aca="false">K147-L147</f>
        <v>96</v>
      </c>
      <c r="N147" s="11" t="str">
        <f aca="false">TEXT(B147,"mmm")</f>
        <v>Feb</v>
      </c>
    </row>
    <row r="148" customFormat="false" ht="15" hidden="false" customHeight="false" outlineLevel="0" collapsed="false">
      <c r="A148" s="11" t="s">
        <v>209</v>
      </c>
      <c r="B148" s="20" t="n">
        <v>45703</v>
      </c>
      <c r="C148" s="11" t="s">
        <v>18</v>
      </c>
      <c r="D148" s="11" t="s">
        <v>33</v>
      </c>
      <c r="E148" s="11" t="s">
        <v>51</v>
      </c>
      <c r="F148" s="11" t="s">
        <v>42</v>
      </c>
      <c r="G148" s="11" t="n">
        <v>4</v>
      </c>
      <c r="H148" s="21" t="n">
        <v>90</v>
      </c>
      <c r="I148" s="21" t="n">
        <v>58</v>
      </c>
      <c r="J148" s="22" t="n">
        <v>0.15</v>
      </c>
      <c r="K148" s="21" t="n">
        <f aca="false">G148*H148*(1-J148)</f>
        <v>306</v>
      </c>
      <c r="L148" s="21" t="n">
        <f aca="false">G148*I148</f>
        <v>232</v>
      </c>
      <c r="M148" s="21" t="n">
        <f aca="false">K148-L148</f>
        <v>74</v>
      </c>
      <c r="N148" s="11" t="str">
        <f aca="false">TEXT(B148,"mmm")</f>
        <v>Feb</v>
      </c>
    </row>
    <row r="149" customFormat="false" ht="15" hidden="false" customHeight="false" outlineLevel="0" collapsed="false">
      <c r="A149" s="11" t="s">
        <v>210</v>
      </c>
      <c r="B149" s="20" t="n">
        <v>45704</v>
      </c>
      <c r="C149" s="11" t="s">
        <v>22</v>
      </c>
      <c r="D149" s="11" t="s">
        <v>37</v>
      </c>
      <c r="E149" s="11" t="s">
        <v>49</v>
      </c>
      <c r="F149" s="11" t="s">
        <v>45</v>
      </c>
      <c r="G149" s="11" t="n">
        <v>27</v>
      </c>
      <c r="H149" s="21" t="n">
        <v>28</v>
      </c>
      <c r="I149" s="21" t="n">
        <v>17</v>
      </c>
      <c r="J149" s="22" t="n">
        <v>0.1</v>
      </c>
      <c r="K149" s="21" t="n">
        <f aca="false">G149*H149*(1-J149)</f>
        <v>680.4</v>
      </c>
      <c r="L149" s="21" t="n">
        <f aca="false">G149*I149</f>
        <v>459</v>
      </c>
      <c r="M149" s="21" t="n">
        <f aca="false">K149-L149</f>
        <v>221.4</v>
      </c>
      <c r="N149" s="11" t="str">
        <f aca="false">TEXT(B149,"mmm")</f>
        <v>Feb</v>
      </c>
    </row>
    <row r="150" customFormat="false" ht="15" hidden="false" customHeight="false" outlineLevel="0" collapsed="false">
      <c r="A150" s="11" t="s">
        <v>211</v>
      </c>
      <c r="B150" s="20" t="n">
        <v>45704</v>
      </c>
      <c r="C150" s="11" t="s">
        <v>22</v>
      </c>
      <c r="D150" s="11" t="s">
        <v>35</v>
      </c>
      <c r="E150" s="11" t="s">
        <v>56</v>
      </c>
      <c r="F150" s="11" t="s">
        <v>42</v>
      </c>
      <c r="G150" s="11" t="n">
        <v>2</v>
      </c>
      <c r="H150" s="21" t="n">
        <v>110</v>
      </c>
      <c r="I150" s="21" t="n">
        <v>62</v>
      </c>
      <c r="J150" s="22" t="n">
        <v>0.1</v>
      </c>
      <c r="K150" s="21" t="n">
        <f aca="false">G150*H150*(1-J150)</f>
        <v>198</v>
      </c>
      <c r="L150" s="21" t="n">
        <f aca="false">G150*I150</f>
        <v>124</v>
      </c>
      <c r="M150" s="21" t="n">
        <f aca="false">K150-L150</f>
        <v>74</v>
      </c>
      <c r="N150" s="11" t="str">
        <f aca="false">TEXT(B150,"mmm")</f>
        <v>Feb</v>
      </c>
    </row>
    <row r="151" customFormat="false" ht="15" hidden="false" customHeight="false" outlineLevel="0" collapsed="false">
      <c r="A151" s="11" t="s">
        <v>212</v>
      </c>
      <c r="B151" s="20" t="n">
        <v>45704</v>
      </c>
      <c r="C151" s="11" t="s">
        <v>22</v>
      </c>
      <c r="D151" s="11" t="s">
        <v>37</v>
      </c>
      <c r="E151" s="11" t="s">
        <v>53</v>
      </c>
      <c r="F151" s="11" t="s">
        <v>42</v>
      </c>
      <c r="G151" s="11" t="n">
        <v>1</v>
      </c>
      <c r="H151" s="21" t="n">
        <v>9</v>
      </c>
      <c r="I151" s="21" t="n">
        <v>4.5</v>
      </c>
      <c r="J151" s="22" t="n">
        <v>0.15</v>
      </c>
      <c r="K151" s="21" t="n">
        <f aca="false">G151*H151*(1-J151)</f>
        <v>7.65</v>
      </c>
      <c r="L151" s="21" t="n">
        <f aca="false">G151*I151</f>
        <v>4.5</v>
      </c>
      <c r="M151" s="21" t="n">
        <f aca="false">K151-L151</f>
        <v>3.15</v>
      </c>
      <c r="N151" s="11" t="str">
        <f aca="false">TEXT(B151,"mmm")</f>
        <v>Feb</v>
      </c>
    </row>
    <row r="152" customFormat="false" ht="15" hidden="false" customHeight="false" outlineLevel="0" collapsed="false">
      <c r="A152" s="11" t="s">
        <v>213</v>
      </c>
      <c r="B152" s="20" t="n">
        <v>45704</v>
      </c>
      <c r="C152" s="11" t="s">
        <v>22</v>
      </c>
      <c r="D152" s="11" t="s">
        <v>35</v>
      </c>
      <c r="E152" s="11" t="s">
        <v>55</v>
      </c>
      <c r="F152" s="11" t="s">
        <v>42</v>
      </c>
      <c r="G152" s="11" t="n">
        <v>1</v>
      </c>
      <c r="H152" s="21" t="n">
        <v>150</v>
      </c>
      <c r="I152" s="21" t="n">
        <v>82</v>
      </c>
      <c r="J152" s="22" t="n">
        <v>0.05</v>
      </c>
      <c r="K152" s="21" t="n">
        <f aca="false">G152*H152*(1-J152)</f>
        <v>142.5</v>
      </c>
      <c r="L152" s="21" t="n">
        <f aca="false">G152*I152</f>
        <v>82</v>
      </c>
      <c r="M152" s="21" t="n">
        <f aca="false">K152-L152</f>
        <v>60.5</v>
      </c>
      <c r="N152" s="11" t="str">
        <f aca="false">TEXT(B152,"mmm")</f>
        <v>Feb</v>
      </c>
    </row>
    <row r="153" customFormat="false" ht="15" hidden="false" customHeight="false" outlineLevel="0" collapsed="false">
      <c r="A153" s="11" t="s">
        <v>214</v>
      </c>
      <c r="B153" s="20" t="n">
        <v>45704</v>
      </c>
      <c r="C153" s="11" t="s">
        <v>24</v>
      </c>
      <c r="D153" s="11" t="s">
        <v>37</v>
      </c>
      <c r="E153" s="11" t="s">
        <v>49</v>
      </c>
      <c r="F153" s="11" t="s">
        <v>42</v>
      </c>
      <c r="G153" s="11" t="n">
        <v>20</v>
      </c>
      <c r="H153" s="21" t="n">
        <v>28</v>
      </c>
      <c r="I153" s="21" t="n">
        <v>17</v>
      </c>
      <c r="J153" s="22" t="n">
        <v>0</v>
      </c>
      <c r="K153" s="21" t="n">
        <f aca="false">G153*H153*(1-J153)</f>
        <v>560</v>
      </c>
      <c r="L153" s="21" t="n">
        <f aca="false">G153*I153</f>
        <v>340</v>
      </c>
      <c r="M153" s="21" t="n">
        <f aca="false">K153-L153</f>
        <v>220</v>
      </c>
      <c r="N153" s="11" t="str">
        <f aca="false">TEXT(B153,"mmm")</f>
        <v>Feb</v>
      </c>
    </row>
    <row r="154" customFormat="false" ht="15" hidden="false" customHeight="false" outlineLevel="0" collapsed="false">
      <c r="A154" s="11" t="s">
        <v>215</v>
      </c>
      <c r="B154" s="20" t="n">
        <v>45704</v>
      </c>
      <c r="C154" s="11" t="s">
        <v>22</v>
      </c>
      <c r="D154" s="11" t="s">
        <v>33</v>
      </c>
      <c r="E154" s="11" t="s">
        <v>51</v>
      </c>
      <c r="F154" s="11" t="s">
        <v>44</v>
      </c>
      <c r="G154" s="11" t="n">
        <v>4</v>
      </c>
      <c r="H154" s="21" t="n">
        <v>90</v>
      </c>
      <c r="I154" s="21" t="n">
        <v>58</v>
      </c>
      <c r="J154" s="22" t="n">
        <v>0.05</v>
      </c>
      <c r="K154" s="21" t="n">
        <f aca="false">G154*H154*(1-J154)</f>
        <v>342</v>
      </c>
      <c r="L154" s="21" t="n">
        <f aca="false">G154*I154</f>
        <v>232</v>
      </c>
      <c r="M154" s="21" t="n">
        <f aca="false">K154-L154</f>
        <v>110</v>
      </c>
      <c r="N154" s="11" t="str">
        <f aca="false">TEXT(B154,"mmm")</f>
        <v>Feb</v>
      </c>
    </row>
    <row r="155" customFormat="false" ht="15" hidden="false" customHeight="false" outlineLevel="0" collapsed="false">
      <c r="A155" s="11" t="s">
        <v>216</v>
      </c>
      <c r="B155" s="20" t="n">
        <v>45704</v>
      </c>
      <c r="C155" s="11" t="s">
        <v>18</v>
      </c>
      <c r="D155" s="11" t="s">
        <v>37</v>
      </c>
      <c r="E155" s="11" t="s">
        <v>49</v>
      </c>
      <c r="F155" s="11" t="s">
        <v>42</v>
      </c>
      <c r="G155" s="11" t="n">
        <v>10</v>
      </c>
      <c r="H155" s="21" t="n">
        <v>28</v>
      </c>
      <c r="I155" s="21" t="n">
        <v>17</v>
      </c>
      <c r="J155" s="22" t="n">
        <v>0.15</v>
      </c>
      <c r="K155" s="21" t="n">
        <f aca="false">G155*H155*(1-J155)</f>
        <v>238</v>
      </c>
      <c r="L155" s="21" t="n">
        <f aca="false">G155*I155</f>
        <v>170</v>
      </c>
      <c r="M155" s="21" t="n">
        <f aca="false">K155-L155</f>
        <v>68</v>
      </c>
      <c r="N155" s="11" t="str">
        <f aca="false">TEXT(B155,"mmm")</f>
        <v>Feb</v>
      </c>
    </row>
    <row r="156" customFormat="false" ht="15" hidden="false" customHeight="false" outlineLevel="0" collapsed="false">
      <c r="A156" s="11" t="s">
        <v>217</v>
      </c>
      <c r="B156" s="20" t="n">
        <v>45704</v>
      </c>
      <c r="C156" s="11" t="s">
        <v>18</v>
      </c>
      <c r="D156" s="11" t="s">
        <v>33</v>
      </c>
      <c r="E156" s="11" t="s">
        <v>51</v>
      </c>
      <c r="F156" s="11" t="s">
        <v>42</v>
      </c>
      <c r="G156" s="11" t="n">
        <v>4</v>
      </c>
      <c r="H156" s="21" t="n">
        <v>90</v>
      </c>
      <c r="I156" s="21" t="n">
        <v>58</v>
      </c>
      <c r="J156" s="22" t="n">
        <v>0</v>
      </c>
      <c r="K156" s="21" t="n">
        <f aca="false">G156*H156*(1-J156)</f>
        <v>360</v>
      </c>
      <c r="L156" s="21" t="n">
        <f aca="false">G156*I156</f>
        <v>232</v>
      </c>
      <c r="M156" s="21" t="n">
        <f aca="false">K156-L156</f>
        <v>128</v>
      </c>
      <c r="N156" s="11" t="str">
        <f aca="false">TEXT(B156,"mmm")</f>
        <v>Feb</v>
      </c>
    </row>
    <row r="157" customFormat="false" ht="15" hidden="false" customHeight="false" outlineLevel="0" collapsed="false">
      <c r="A157" s="11" t="s">
        <v>218</v>
      </c>
      <c r="B157" s="20" t="n">
        <v>45705</v>
      </c>
      <c r="C157" s="11" t="s">
        <v>18</v>
      </c>
      <c r="D157" s="11" t="s">
        <v>37</v>
      </c>
      <c r="E157" s="11" t="s">
        <v>52</v>
      </c>
      <c r="F157" s="11" t="s">
        <v>44</v>
      </c>
      <c r="G157" s="11" t="n">
        <v>24</v>
      </c>
      <c r="H157" s="21" t="n">
        <v>12</v>
      </c>
      <c r="I157" s="21" t="n">
        <v>6</v>
      </c>
      <c r="J157" s="22" t="n">
        <v>0</v>
      </c>
      <c r="K157" s="21" t="n">
        <f aca="false">G157*H157*(1-J157)</f>
        <v>288</v>
      </c>
      <c r="L157" s="21" t="n">
        <f aca="false">G157*I157</f>
        <v>144</v>
      </c>
      <c r="M157" s="21" t="n">
        <f aca="false">K157-L157</f>
        <v>144</v>
      </c>
      <c r="N157" s="11" t="str">
        <f aca="false">TEXT(B157,"mmm")</f>
        <v>Feb</v>
      </c>
    </row>
    <row r="158" customFormat="false" ht="15" hidden="false" customHeight="false" outlineLevel="0" collapsed="false">
      <c r="A158" s="11" t="s">
        <v>219</v>
      </c>
      <c r="B158" s="20" t="n">
        <v>45705</v>
      </c>
      <c r="C158" s="11" t="s">
        <v>24</v>
      </c>
      <c r="D158" s="11" t="s">
        <v>37</v>
      </c>
      <c r="E158" s="11" t="s">
        <v>52</v>
      </c>
      <c r="F158" s="11" t="s">
        <v>44</v>
      </c>
      <c r="G158" s="11" t="n">
        <v>16</v>
      </c>
      <c r="H158" s="21" t="n">
        <v>12</v>
      </c>
      <c r="I158" s="21" t="n">
        <v>6</v>
      </c>
      <c r="J158" s="22" t="n">
        <v>0</v>
      </c>
      <c r="K158" s="21" t="n">
        <f aca="false">G158*H158*(1-J158)</f>
        <v>192</v>
      </c>
      <c r="L158" s="21" t="n">
        <f aca="false">G158*I158</f>
        <v>96</v>
      </c>
      <c r="M158" s="21" t="n">
        <f aca="false">K158-L158</f>
        <v>96</v>
      </c>
      <c r="N158" s="11" t="str">
        <f aca="false">TEXT(B158,"mmm")</f>
        <v>Feb</v>
      </c>
    </row>
    <row r="159" customFormat="false" ht="15" hidden="false" customHeight="false" outlineLevel="0" collapsed="false">
      <c r="A159" s="11" t="s">
        <v>220</v>
      </c>
      <c r="B159" s="20" t="n">
        <v>45706</v>
      </c>
      <c r="C159" s="11" t="s">
        <v>22</v>
      </c>
      <c r="D159" s="11" t="s">
        <v>35</v>
      </c>
      <c r="E159" s="11" t="s">
        <v>55</v>
      </c>
      <c r="F159" s="11" t="s">
        <v>44</v>
      </c>
      <c r="G159" s="11" t="n">
        <v>3</v>
      </c>
      <c r="H159" s="21" t="n">
        <v>150</v>
      </c>
      <c r="I159" s="21" t="n">
        <v>82</v>
      </c>
      <c r="J159" s="22" t="n">
        <v>0</v>
      </c>
      <c r="K159" s="21" t="n">
        <f aca="false">G159*H159*(1-J159)</f>
        <v>450</v>
      </c>
      <c r="L159" s="21" t="n">
        <f aca="false">G159*I159</f>
        <v>246</v>
      </c>
      <c r="M159" s="21" t="n">
        <f aca="false">K159-L159</f>
        <v>204</v>
      </c>
      <c r="N159" s="11" t="str">
        <f aca="false">TEXT(B159,"mmm")</f>
        <v>Feb</v>
      </c>
    </row>
    <row r="160" customFormat="false" ht="15" hidden="false" customHeight="false" outlineLevel="0" collapsed="false">
      <c r="A160" s="11" t="s">
        <v>221</v>
      </c>
      <c r="B160" s="20" t="n">
        <v>45707</v>
      </c>
      <c r="C160" s="11" t="s">
        <v>22</v>
      </c>
      <c r="D160" s="11" t="s">
        <v>37</v>
      </c>
      <c r="E160" s="11" t="s">
        <v>52</v>
      </c>
      <c r="F160" s="11" t="s">
        <v>44</v>
      </c>
      <c r="G160" s="11" t="n">
        <v>19</v>
      </c>
      <c r="H160" s="21" t="n">
        <v>12</v>
      </c>
      <c r="I160" s="21" t="n">
        <v>6</v>
      </c>
      <c r="J160" s="22" t="n">
        <v>0</v>
      </c>
      <c r="K160" s="21" t="n">
        <f aca="false">G160*H160*(1-J160)</f>
        <v>228</v>
      </c>
      <c r="L160" s="21" t="n">
        <f aca="false">G160*I160</f>
        <v>114</v>
      </c>
      <c r="M160" s="21" t="n">
        <f aca="false">K160-L160</f>
        <v>114</v>
      </c>
      <c r="N160" s="11" t="str">
        <f aca="false">TEXT(B160,"mmm")</f>
        <v>Feb</v>
      </c>
    </row>
    <row r="161" customFormat="false" ht="15" hidden="false" customHeight="false" outlineLevel="0" collapsed="false">
      <c r="A161" s="11" t="s">
        <v>222</v>
      </c>
      <c r="B161" s="20" t="n">
        <v>45707</v>
      </c>
      <c r="C161" s="11" t="s">
        <v>22</v>
      </c>
      <c r="D161" s="11" t="s">
        <v>33</v>
      </c>
      <c r="E161" s="11" t="s">
        <v>51</v>
      </c>
      <c r="F161" s="11" t="s">
        <v>45</v>
      </c>
      <c r="G161" s="11" t="n">
        <v>18</v>
      </c>
      <c r="H161" s="21" t="n">
        <v>90</v>
      </c>
      <c r="I161" s="21" t="n">
        <v>58</v>
      </c>
      <c r="J161" s="22" t="n">
        <v>0.15</v>
      </c>
      <c r="K161" s="21" t="n">
        <f aca="false">G161*H161*(1-J161)</f>
        <v>1377</v>
      </c>
      <c r="L161" s="21" t="n">
        <f aca="false">G161*I161</f>
        <v>1044</v>
      </c>
      <c r="M161" s="21" t="n">
        <f aca="false">K161-L161</f>
        <v>333</v>
      </c>
      <c r="N161" s="11" t="str">
        <f aca="false">TEXT(B161,"mmm")</f>
        <v>Feb</v>
      </c>
    </row>
    <row r="162" customFormat="false" ht="15" hidden="false" customHeight="false" outlineLevel="0" collapsed="false">
      <c r="A162" s="11" t="s">
        <v>223</v>
      </c>
      <c r="B162" s="20" t="n">
        <v>45707</v>
      </c>
      <c r="C162" s="11" t="s">
        <v>18</v>
      </c>
      <c r="D162" s="11" t="s">
        <v>37</v>
      </c>
      <c r="E162" s="11" t="s">
        <v>53</v>
      </c>
      <c r="F162" s="11" t="s">
        <v>45</v>
      </c>
      <c r="G162" s="11" t="n">
        <v>6</v>
      </c>
      <c r="H162" s="21" t="n">
        <v>9</v>
      </c>
      <c r="I162" s="21" t="n">
        <v>4.5</v>
      </c>
      <c r="J162" s="22" t="n">
        <v>0.1</v>
      </c>
      <c r="K162" s="21" t="n">
        <f aca="false">G162*H162*(1-J162)</f>
        <v>48.6</v>
      </c>
      <c r="L162" s="21" t="n">
        <f aca="false">G162*I162</f>
        <v>27</v>
      </c>
      <c r="M162" s="21" t="n">
        <f aca="false">K162-L162</f>
        <v>21.6</v>
      </c>
      <c r="N162" s="11" t="str">
        <f aca="false">TEXT(B162,"mmm")</f>
        <v>Feb</v>
      </c>
    </row>
    <row r="163" customFormat="false" ht="15" hidden="false" customHeight="false" outlineLevel="0" collapsed="false">
      <c r="A163" s="11" t="s">
        <v>224</v>
      </c>
      <c r="B163" s="20" t="n">
        <v>45708</v>
      </c>
      <c r="C163" s="11" t="s">
        <v>18</v>
      </c>
      <c r="D163" s="11" t="s">
        <v>37</v>
      </c>
      <c r="E163" s="11" t="s">
        <v>49</v>
      </c>
      <c r="F163" s="11" t="s">
        <v>42</v>
      </c>
      <c r="G163" s="11" t="n">
        <v>38</v>
      </c>
      <c r="H163" s="21" t="n">
        <v>28</v>
      </c>
      <c r="I163" s="21" t="n">
        <v>17</v>
      </c>
      <c r="J163" s="22" t="n">
        <v>0.05</v>
      </c>
      <c r="K163" s="21" t="n">
        <f aca="false">G163*H163*(1-J163)</f>
        <v>1010.8</v>
      </c>
      <c r="L163" s="21" t="n">
        <f aca="false">G163*I163</f>
        <v>646</v>
      </c>
      <c r="M163" s="21" t="n">
        <f aca="false">K163-L163</f>
        <v>364.8</v>
      </c>
      <c r="N163" s="11" t="str">
        <f aca="false">TEXT(B163,"mmm")</f>
        <v>Feb</v>
      </c>
    </row>
    <row r="164" customFormat="false" ht="15" hidden="false" customHeight="false" outlineLevel="0" collapsed="false">
      <c r="A164" s="11" t="s">
        <v>225</v>
      </c>
      <c r="B164" s="20" t="n">
        <v>45708</v>
      </c>
      <c r="C164" s="11" t="s">
        <v>18</v>
      </c>
      <c r="D164" s="11" t="s">
        <v>37</v>
      </c>
      <c r="E164" s="11" t="s">
        <v>52</v>
      </c>
      <c r="F164" s="11" t="s">
        <v>44</v>
      </c>
      <c r="G164" s="11" t="n">
        <v>5</v>
      </c>
      <c r="H164" s="21" t="n">
        <v>12</v>
      </c>
      <c r="I164" s="21" t="n">
        <v>6</v>
      </c>
      <c r="J164" s="22" t="n">
        <v>0.05</v>
      </c>
      <c r="K164" s="21" t="n">
        <f aca="false">G164*H164*(1-J164)</f>
        <v>57</v>
      </c>
      <c r="L164" s="21" t="n">
        <f aca="false">G164*I164</f>
        <v>30</v>
      </c>
      <c r="M164" s="21" t="n">
        <f aca="false">K164-L164</f>
        <v>27</v>
      </c>
      <c r="N164" s="11" t="str">
        <f aca="false">TEXT(B164,"mmm")</f>
        <v>Feb</v>
      </c>
    </row>
    <row r="165" customFormat="false" ht="15" hidden="false" customHeight="false" outlineLevel="0" collapsed="false">
      <c r="A165" s="11" t="s">
        <v>226</v>
      </c>
      <c r="B165" s="20" t="n">
        <v>45708</v>
      </c>
      <c r="C165" s="11" t="s">
        <v>18</v>
      </c>
      <c r="D165" s="11" t="s">
        <v>33</v>
      </c>
      <c r="E165" s="11" t="s">
        <v>51</v>
      </c>
      <c r="F165" s="11" t="s">
        <v>42</v>
      </c>
      <c r="G165" s="11" t="n">
        <v>2</v>
      </c>
      <c r="H165" s="21" t="n">
        <v>90</v>
      </c>
      <c r="I165" s="21" t="n">
        <v>58</v>
      </c>
      <c r="J165" s="22" t="n">
        <v>0</v>
      </c>
      <c r="K165" s="21" t="n">
        <f aca="false">G165*H165*(1-J165)</f>
        <v>180</v>
      </c>
      <c r="L165" s="21" t="n">
        <f aca="false">G165*I165</f>
        <v>116</v>
      </c>
      <c r="M165" s="21" t="n">
        <f aca="false">K165-L165</f>
        <v>64</v>
      </c>
      <c r="N165" s="11" t="str">
        <f aca="false">TEXT(B165,"mmm")</f>
        <v>Feb</v>
      </c>
    </row>
    <row r="166" customFormat="false" ht="15" hidden="false" customHeight="false" outlineLevel="0" collapsed="false">
      <c r="A166" s="11" t="s">
        <v>227</v>
      </c>
      <c r="B166" s="20" t="n">
        <v>45709</v>
      </c>
      <c r="C166" s="11" t="s">
        <v>18</v>
      </c>
      <c r="D166" s="11" t="s">
        <v>37</v>
      </c>
      <c r="E166" s="11" t="s">
        <v>49</v>
      </c>
      <c r="F166" s="11" t="s">
        <v>44</v>
      </c>
      <c r="G166" s="11" t="n">
        <v>10</v>
      </c>
      <c r="H166" s="21" t="n">
        <v>28</v>
      </c>
      <c r="I166" s="21" t="n">
        <v>17</v>
      </c>
      <c r="J166" s="22" t="n">
        <v>0</v>
      </c>
      <c r="K166" s="21" t="n">
        <f aca="false">G166*H166*(1-J166)</f>
        <v>280</v>
      </c>
      <c r="L166" s="21" t="n">
        <f aca="false">G166*I166</f>
        <v>170</v>
      </c>
      <c r="M166" s="21" t="n">
        <f aca="false">K166-L166</f>
        <v>110</v>
      </c>
      <c r="N166" s="11" t="str">
        <f aca="false">TEXT(B166,"mmm")</f>
        <v>Feb</v>
      </c>
    </row>
    <row r="167" customFormat="false" ht="15" hidden="false" customHeight="false" outlineLevel="0" collapsed="false">
      <c r="A167" s="11" t="s">
        <v>228</v>
      </c>
      <c r="B167" s="20" t="n">
        <v>45709</v>
      </c>
      <c r="C167" s="11" t="s">
        <v>22</v>
      </c>
      <c r="D167" s="11" t="s">
        <v>37</v>
      </c>
      <c r="E167" s="11" t="s">
        <v>52</v>
      </c>
      <c r="F167" s="11" t="s">
        <v>44</v>
      </c>
      <c r="G167" s="11" t="n">
        <v>14</v>
      </c>
      <c r="H167" s="21" t="n">
        <v>12</v>
      </c>
      <c r="I167" s="21" t="n">
        <v>6</v>
      </c>
      <c r="J167" s="22" t="n">
        <v>0</v>
      </c>
      <c r="K167" s="21" t="n">
        <f aca="false">G167*H167*(1-J167)</f>
        <v>168</v>
      </c>
      <c r="L167" s="21" t="n">
        <f aca="false">G167*I167</f>
        <v>84</v>
      </c>
      <c r="M167" s="21" t="n">
        <f aca="false">K167-L167</f>
        <v>84</v>
      </c>
      <c r="N167" s="11" t="str">
        <f aca="false">TEXT(B167,"mmm")</f>
        <v>Feb</v>
      </c>
    </row>
    <row r="168" customFormat="false" ht="15" hidden="false" customHeight="false" outlineLevel="0" collapsed="false">
      <c r="A168" s="11" t="s">
        <v>229</v>
      </c>
      <c r="B168" s="20" t="n">
        <v>45709</v>
      </c>
      <c r="C168" s="11" t="s">
        <v>18</v>
      </c>
      <c r="D168" s="11" t="s">
        <v>35</v>
      </c>
      <c r="E168" s="11" t="s">
        <v>54</v>
      </c>
      <c r="F168" s="11" t="s">
        <v>42</v>
      </c>
      <c r="G168" s="11" t="n">
        <v>2</v>
      </c>
      <c r="H168" s="21" t="n">
        <v>320</v>
      </c>
      <c r="I168" s="21" t="n">
        <v>185</v>
      </c>
      <c r="J168" s="22" t="n">
        <v>0.05</v>
      </c>
      <c r="K168" s="21" t="n">
        <f aca="false">G168*H168*(1-J168)</f>
        <v>608</v>
      </c>
      <c r="L168" s="21" t="n">
        <f aca="false">G168*I168</f>
        <v>370</v>
      </c>
      <c r="M168" s="21" t="n">
        <f aca="false">K168-L168</f>
        <v>238</v>
      </c>
      <c r="N168" s="11" t="str">
        <f aca="false">TEXT(B168,"mmm")</f>
        <v>Feb</v>
      </c>
    </row>
    <row r="169" customFormat="false" ht="15" hidden="false" customHeight="false" outlineLevel="0" collapsed="false">
      <c r="A169" s="11" t="s">
        <v>230</v>
      </c>
      <c r="B169" s="20" t="n">
        <v>45709</v>
      </c>
      <c r="C169" s="11" t="s">
        <v>18</v>
      </c>
      <c r="D169" s="11" t="s">
        <v>37</v>
      </c>
      <c r="E169" s="11" t="s">
        <v>53</v>
      </c>
      <c r="F169" s="11" t="s">
        <v>44</v>
      </c>
      <c r="G169" s="11" t="n">
        <v>18</v>
      </c>
      <c r="H169" s="21" t="n">
        <v>9</v>
      </c>
      <c r="I169" s="21" t="n">
        <v>4.5</v>
      </c>
      <c r="J169" s="22" t="n">
        <v>0</v>
      </c>
      <c r="K169" s="21" t="n">
        <f aca="false">G169*H169*(1-J169)</f>
        <v>162</v>
      </c>
      <c r="L169" s="21" t="n">
        <f aca="false">G169*I169</f>
        <v>81</v>
      </c>
      <c r="M169" s="21" t="n">
        <f aca="false">K169-L169</f>
        <v>81</v>
      </c>
      <c r="N169" s="11" t="str">
        <f aca="false">TEXT(B169,"mmm")</f>
        <v>Feb</v>
      </c>
    </row>
    <row r="170" customFormat="false" ht="15" hidden="false" customHeight="false" outlineLevel="0" collapsed="false">
      <c r="A170" s="11" t="s">
        <v>231</v>
      </c>
      <c r="B170" s="20" t="n">
        <v>45709</v>
      </c>
      <c r="C170" s="11" t="s">
        <v>20</v>
      </c>
      <c r="D170" s="11" t="s">
        <v>37</v>
      </c>
      <c r="E170" s="11" t="s">
        <v>52</v>
      </c>
      <c r="F170" s="11" t="s">
        <v>42</v>
      </c>
      <c r="G170" s="11" t="n">
        <v>38</v>
      </c>
      <c r="H170" s="21" t="n">
        <v>12</v>
      </c>
      <c r="I170" s="21" t="n">
        <v>6</v>
      </c>
      <c r="J170" s="22" t="n">
        <v>0</v>
      </c>
      <c r="K170" s="21" t="n">
        <f aca="false">G170*H170*(1-J170)</f>
        <v>456</v>
      </c>
      <c r="L170" s="21" t="n">
        <f aca="false">G170*I170</f>
        <v>228</v>
      </c>
      <c r="M170" s="21" t="n">
        <f aca="false">K170-L170</f>
        <v>228</v>
      </c>
      <c r="N170" s="11" t="str">
        <f aca="false">TEXT(B170,"mmm")</f>
        <v>Feb</v>
      </c>
    </row>
    <row r="171" customFormat="false" ht="15" hidden="false" customHeight="false" outlineLevel="0" collapsed="false">
      <c r="A171" s="11" t="s">
        <v>232</v>
      </c>
      <c r="B171" s="20" t="n">
        <v>45709</v>
      </c>
      <c r="C171" s="11" t="s">
        <v>18</v>
      </c>
      <c r="D171" s="11" t="s">
        <v>37</v>
      </c>
      <c r="E171" s="11" t="s">
        <v>53</v>
      </c>
      <c r="F171" s="11" t="s">
        <v>44</v>
      </c>
      <c r="G171" s="11" t="n">
        <v>10</v>
      </c>
      <c r="H171" s="21" t="n">
        <v>9</v>
      </c>
      <c r="I171" s="21" t="n">
        <v>4.5</v>
      </c>
      <c r="J171" s="22" t="n">
        <v>0.05</v>
      </c>
      <c r="K171" s="21" t="n">
        <f aca="false">G171*H171*(1-J171)</f>
        <v>85.5</v>
      </c>
      <c r="L171" s="21" t="n">
        <f aca="false">G171*I171</f>
        <v>45</v>
      </c>
      <c r="M171" s="21" t="n">
        <f aca="false">K171-L171</f>
        <v>40.5</v>
      </c>
      <c r="N171" s="11" t="str">
        <f aca="false">TEXT(B171,"mmm")</f>
        <v>Feb</v>
      </c>
    </row>
    <row r="172" customFormat="false" ht="15" hidden="false" customHeight="false" outlineLevel="0" collapsed="false">
      <c r="A172" s="11" t="s">
        <v>233</v>
      </c>
      <c r="B172" s="20" t="n">
        <v>45710</v>
      </c>
      <c r="C172" s="11" t="s">
        <v>24</v>
      </c>
      <c r="D172" s="11" t="s">
        <v>37</v>
      </c>
      <c r="E172" s="11" t="s">
        <v>49</v>
      </c>
      <c r="F172" s="11" t="s">
        <v>44</v>
      </c>
      <c r="G172" s="11" t="n">
        <v>8</v>
      </c>
      <c r="H172" s="21" t="n">
        <v>28</v>
      </c>
      <c r="I172" s="21" t="n">
        <v>17</v>
      </c>
      <c r="J172" s="22" t="n">
        <v>0.05</v>
      </c>
      <c r="K172" s="21" t="n">
        <f aca="false">G172*H172*(1-J172)</f>
        <v>212.8</v>
      </c>
      <c r="L172" s="21" t="n">
        <f aca="false">G172*I172</f>
        <v>136</v>
      </c>
      <c r="M172" s="21" t="n">
        <f aca="false">K172-L172</f>
        <v>76.8</v>
      </c>
      <c r="N172" s="11" t="str">
        <f aca="false">TEXT(B172,"mmm")</f>
        <v>Feb</v>
      </c>
    </row>
    <row r="173" customFormat="false" ht="15" hidden="false" customHeight="false" outlineLevel="0" collapsed="false">
      <c r="A173" s="11" t="s">
        <v>234</v>
      </c>
      <c r="B173" s="20" t="n">
        <v>45710</v>
      </c>
      <c r="C173" s="11" t="s">
        <v>20</v>
      </c>
      <c r="D173" s="11" t="s">
        <v>37</v>
      </c>
      <c r="E173" s="11" t="s">
        <v>49</v>
      </c>
      <c r="F173" s="11" t="s">
        <v>45</v>
      </c>
      <c r="G173" s="11" t="n">
        <v>12</v>
      </c>
      <c r="H173" s="21" t="n">
        <v>28</v>
      </c>
      <c r="I173" s="21" t="n">
        <v>17</v>
      </c>
      <c r="J173" s="22" t="n">
        <v>0.15</v>
      </c>
      <c r="K173" s="21" t="n">
        <f aca="false">G173*H173*(1-J173)</f>
        <v>285.6</v>
      </c>
      <c r="L173" s="21" t="n">
        <f aca="false">G173*I173</f>
        <v>204</v>
      </c>
      <c r="M173" s="21" t="n">
        <f aca="false">K173-L173</f>
        <v>81.6</v>
      </c>
      <c r="N173" s="11" t="str">
        <f aca="false">TEXT(B173,"mmm")</f>
        <v>Feb</v>
      </c>
    </row>
    <row r="174" customFormat="false" ht="15" hidden="false" customHeight="false" outlineLevel="0" collapsed="false">
      <c r="A174" s="11" t="s">
        <v>235</v>
      </c>
      <c r="B174" s="20" t="n">
        <v>45710</v>
      </c>
      <c r="C174" s="11" t="s">
        <v>24</v>
      </c>
      <c r="D174" s="11" t="s">
        <v>35</v>
      </c>
      <c r="E174" s="11" t="s">
        <v>55</v>
      </c>
      <c r="F174" s="11" t="s">
        <v>42</v>
      </c>
      <c r="G174" s="11" t="n">
        <v>3</v>
      </c>
      <c r="H174" s="21" t="n">
        <v>150</v>
      </c>
      <c r="I174" s="21" t="n">
        <v>82</v>
      </c>
      <c r="J174" s="22" t="n">
        <v>0.1</v>
      </c>
      <c r="K174" s="21" t="n">
        <f aca="false">G174*H174*(1-J174)</f>
        <v>405</v>
      </c>
      <c r="L174" s="21" t="n">
        <f aca="false">G174*I174</f>
        <v>246</v>
      </c>
      <c r="M174" s="21" t="n">
        <f aca="false">K174-L174</f>
        <v>159</v>
      </c>
      <c r="N174" s="11" t="str">
        <f aca="false">TEXT(B174,"mmm")</f>
        <v>Feb</v>
      </c>
    </row>
    <row r="175" customFormat="false" ht="15" hidden="false" customHeight="false" outlineLevel="0" collapsed="false">
      <c r="A175" s="11" t="s">
        <v>236</v>
      </c>
      <c r="B175" s="20" t="n">
        <v>45710</v>
      </c>
      <c r="C175" s="11" t="s">
        <v>18</v>
      </c>
      <c r="D175" s="11" t="s">
        <v>37</v>
      </c>
      <c r="E175" s="11" t="s">
        <v>52</v>
      </c>
      <c r="F175" s="11" t="s">
        <v>44</v>
      </c>
      <c r="G175" s="11" t="n">
        <v>22</v>
      </c>
      <c r="H175" s="21" t="n">
        <v>12</v>
      </c>
      <c r="I175" s="21" t="n">
        <v>6</v>
      </c>
      <c r="J175" s="22" t="n">
        <v>0</v>
      </c>
      <c r="K175" s="21" t="n">
        <f aca="false">G175*H175*(1-J175)</f>
        <v>264</v>
      </c>
      <c r="L175" s="21" t="n">
        <f aca="false">G175*I175</f>
        <v>132</v>
      </c>
      <c r="M175" s="21" t="n">
        <f aca="false">K175-L175</f>
        <v>132</v>
      </c>
      <c r="N175" s="11" t="str">
        <f aca="false">TEXT(B175,"mmm")</f>
        <v>Feb</v>
      </c>
    </row>
    <row r="176" customFormat="false" ht="15" hidden="false" customHeight="false" outlineLevel="0" collapsed="false">
      <c r="A176" s="11" t="s">
        <v>237</v>
      </c>
      <c r="B176" s="20" t="n">
        <v>45710</v>
      </c>
      <c r="C176" s="11" t="s">
        <v>18</v>
      </c>
      <c r="D176" s="11" t="s">
        <v>37</v>
      </c>
      <c r="E176" s="11" t="s">
        <v>52</v>
      </c>
      <c r="F176" s="11" t="s">
        <v>44</v>
      </c>
      <c r="G176" s="11" t="n">
        <v>8</v>
      </c>
      <c r="H176" s="21" t="n">
        <v>12</v>
      </c>
      <c r="I176" s="21" t="n">
        <v>6</v>
      </c>
      <c r="J176" s="22" t="n">
        <v>0</v>
      </c>
      <c r="K176" s="21" t="n">
        <f aca="false">G176*H176*(1-J176)</f>
        <v>96</v>
      </c>
      <c r="L176" s="21" t="n">
        <f aca="false">G176*I176</f>
        <v>48</v>
      </c>
      <c r="M176" s="21" t="n">
        <f aca="false">K176-L176</f>
        <v>48</v>
      </c>
      <c r="N176" s="11" t="str">
        <f aca="false">TEXT(B176,"mmm")</f>
        <v>Feb</v>
      </c>
    </row>
    <row r="177" customFormat="false" ht="15" hidden="false" customHeight="false" outlineLevel="0" collapsed="false">
      <c r="A177" s="11" t="s">
        <v>238</v>
      </c>
      <c r="B177" s="20" t="n">
        <v>45711</v>
      </c>
      <c r="C177" s="11" t="s">
        <v>24</v>
      </c>
      <c r="D177" s="11" t="s">
        <v>37</v>
      </c>
      <c r="E177" s="11" t="s">
        <v>53</v>
      </c>
      <c r="F177" s="11" t="s">
        <v>44</v>
      </c>
      <c r="G177" s="11" t="n">
        <v>38</v>
      </c>
      <c r="H177" s="21" t="n">
        <v>9</v>
      </c>
      <c r="I177" s="21" t="n">
        <v>4.5</v>
      </c>
      <c r="J177" s="22" t="n">
        <v>0.05</v>
      </c>
      <c r="K177" s="21" t="n">
        <f aca="false">G177*H177*(1-J177)</f>
        <v>324.9</v>
      </c>
      <c r="L177" s="21" t="n">
        <f aca="false">G177*I177</f>
        <v>171</v>
      </c>
      <c r="M177" s="21" t="n">
        <f aca="false">K177-L177</f>
        <v>153.9</v>
      </c>
      <c r="N177" s="11" t="str">
        <f aca="false">TEXT(B177,"mmm")</f>
        <v>Feb</v>
      </c>
    </row>
    <row r="178" customFormat="false" ht="15" hidden="false" customHeight="false" outlineLevel="0" collapsed="false">
      <c r="A178" s="11" t="s">
        <v>239</v>
      </c>
      <c r="B178" s="20" t="n">
        <v>45711</v>
      </c>
      <c r="C178" s="11" t="s">
        <v>20</v>
      </c>
      <c r="D178" s="11" t="s">
        <v>35</v>
      </c>
      <c r="E178" s="11" t="s">
        <v>54</v>
      </c>
      <c r="F178" s="11" t="s">
        <v>42</v>
      </c>
      <c r="G178" s="11" t="n">
        <v>2</v>
      </c>
      <c r="H178" s="21" t="n">
        <v>320</v>
      </c>
      <c r="I178" s="21" t="n">
        <v>185</v>
      </c>
      <c r="J178" s="22" t="n">
        <v>0.1</v>
      </c>
      <c r="K178" s="21" t="n">
        <f aca="false">G178*H178*(1-J178)</f>
        <v>576</v>
      </c>
      <c r="L178" s="21" t="n">
        <f aca="false">G178*I178</f>
        <v>370</v>
      </c>
      <c r="M178" s="21" t="n">
        <f aca="false">K178-L178</f>
        <v>206</v>
      </c>
      <c r="N178" s="11" t="str">
        <f aca="false">TEXT(B178,"mmm")</f>
        <v>Feb</v>
      </c>
    </row>
    <row r="179" customFormat="false" ht="15" hidden="false" customHeight="false" outlineLevel="0" collapsed="false">
      <c r="A179" s="11" t="s">
        <v>240</v>
      </c>
      <c r="B179" s="20" t="n">
        <v>45711</v>
      </c>
      <c r="C179" s="11" t="s">
        <v>22</v>
      </c>
      <c r="D179" s="11" t="s">
        <v>35</v>
      </c>
      <c r="E179" s="11" t="s">
        <v>56</v>
      </c>
      <c r="F179" s="11" t="s">
        <v>42</v>
      </c>
      <c r="G179" s="11" t="n">
        <v>3</v>
      </c>
      <c r="H179" s="21" t="n">
        <v>110</v>
      </c>
      <c r="I179" s="21" t="n">
        <v>62</v>
      </c>
      <c r="J179" s="22" t="n">
        <v>0.1</v>
      </c>
      <c r="K179" s="21" t="n">
        <f aca="false">G179*H179*(1-J179)</f>
        <v>297</v>
      </c>
      <c r="L179" s="21" t="n">
        <f aca="false">G179*I179</f>
        <v>186</v>
      </c>
      <c r="M179" s="21" t="n">
        <f aca="false">K179-L179</f>
        <v>111</v>
      </c>
      <c r="N179" s="11" t="str">
        <f aca="false">TEXT(B179,"mmm")</f>
        <v>Feb</v>
      </c>
    </row>
    <row r="180" customFormat="false" ht="15" hidden="false" customHeight="false" outlineLevel="0" collapsed="false">
      <c r="A180" s="11" t="s">
        <v>241</v>
      </c>
      <c r="B180" s="20" t="n">
        <v>45712</v>
      </c>
      <c r="C180" s="11" t="s">
        <v>18</v>
      </c>
      <c r="D180" s="11" t="s">
        <v>33</v>
      </c>
      <c r="E180" s="11" t="s">
        <v>51</v>
      </c>
      <c r="F180" s="11" t="s">
        <v>42</v>
      </c>
      <c r="G180" s="11" t="n">
        <v>6</v>
      </c>
      <c r="H180" s="21" t="n">
        <v>90</v>
      </c>
      <c r="I180" s="21" t="n">
        <v>58</v>
      </c>
      <c r="J180" s="22" t="n">
        <v>0</v>
      </c>
      <c r="K180" s="21" t="n">
        <f aca="false">G180*H180*(1-J180)</f>
        <v>540</v>
      </c>
      <c r="L180" s="21" t="n">
        <f aca="false">G180*I180</f>
        <v>348</v>
      </c>
      <c r="M180" s="21" t="n">
        <f aca="false">K180-L180</f>
        <v>192</v>
      </c>
      <c r="N180" s="11" t="str">
        <f aca="false">TEXT(B180,"mmm")</f>
        <v>Feb</v>
      </c>
    </row>
    <row r="181" customFormat="false" ht="15" hidden="false" customHeight="false" outlineLevel="0" collapsed="false">
      <c r="A181" s="11" t="s">
        <v>242</v>
      </c>
      <c r="B181" s="20" t="n">
        <v>45712</v>
      </c>
      <c r="C181" s="11" t="s">
        <v>24</v>
      </c>
      <c r="D181" s="11" t="s">
        <v>33</v>
      </c>
      <c r="E181" s="11" t="s">
        <v>48</v>
      </c>
      <c r="F181" s="11" t="s">
        <v>44</v>
      </c>
      <c r="G181" s="11" t="n">
        <v>3</v>
      </c>
      <c r="H181" s="21" t="n">
        <v>520</v>
      </c>
      <c r="I181" s="21" t="n">
        <v>415</v>
      </c>
      <c r="J181" s="22" t="n">
        <v>0</v>
      </c>
      <c r="K181" s="21" t="n">
        <f aca="false">G181*H181*(1-J181)</f>
        <v>1560</v>
      </c>
      <c r="L181" s="21" t="n">
        <f aca="false">G181*I181</f>
        <v>1245</v>
      </c>
      <c r="M181" s="21" t="n">
        <f aca="false">K181-L181</f>
        <v>315</v>
      </c>
      <c r="N181" s="11" t="str">
        <f aca="false">TEXT(B181,"mmm")</f>
        <v>Feb</v>
      </c>
    </row>
    <row r="182" customFormat="false" ht="15" hidden="false" customHeight="false" outlineLevel="0" collapsed="false">
      <c r="A182" s="11" t="s">
        <v>243</v>
      </c>
      <c r="B182" s="20" t="n">
        <v>45712</v>
      </c>
      <c r="C182" s="11" t="s">
        <v>22</v>
      </c>
      <c r="D182" s="11" t="s">
        <v>37</v>
      </c>
      <c r="E182" s="11" t="s">
        <v>53</v>
      </c>
      <c r="F182" s="11" t="s">
        <v>42</v>
      </c>
      <c r="G182" s="11" t="n">
        <v>37</v>
      </c>
      <c r="H182" s="21" t="n">
        <v>9</v>
      </c>
      <c r="I182" s="21" t="n">
        <v>4.5</v>
      </c>
      <c r="J182" s="22" t="n">
        <v>0.05</v>
      </c>
      <c r="K182" s="21" t="n">
        <f aca="false">G182*H182*(1-J182)</f>
        <v>316.35</v>
      </c>
      <c r="L182" s="21" t="n">
        <f aca="false">G182*I182</f>
        <v>166.5</v>
      </c>
      <c r="M182" s="21" t="n">
        <f aca="false">K182-L182</f>
        <v>149.85</v>
      </c>
      <c r="N182" s="11" t="str">
        <f aca="false">TEXT(B182,"mmm")</f>
        <v>Feb</v>
      </c>
    </row>
    <row r="183" customFormat="false" ht="15" hidden="false" customHeight="false" outlineLevel="0" collapsed="false">
      <c r="A183" s="11" t="s">
        <v>244</v>
      </c>
      <c r="B183" s="20" t="n">
        <v>45713</v>
      </c>
      <c r="C183" s="11" t="s">
        <v>22</v>
      </c>
      <c r="D183" s="11" t="s">
        <v>37</v>
      </c>
      <c r="E183" s="11" t="s">
        <v>53</v>
      </c>
      <c r="F183" s="11" t="s">
        <v>42</v>
      </c>
      <c r="G183" s="11" t="n">
        <v>3</v>
      </c>
      <c r="H183" s="21" t="n">
        <v>9</v>
      </c>
      <c r="I183" s="21" t="n">
        <v>4.5</v>
      </c>
      <c r="J183" s="22" t="n">
        <v>0.1</v>
      </c>
      <c r="K183" s="21" t="n">
        <f aca="false">G183*H183*(1-J183)</f>
        <v>24.3</v>
      </c>
      <c r="L183" s="21" t="n">
        <f aca="false">G183*I183</f>
        <v>13.5</v>
      </c>
      <c r="M183" s="21" t="n">
        <f aca="false">K183-L183</f>
        <v>10.8</v>
      </c>
      <c r="N183" s="11" t="str">
        <f aca="false">TEXT(B183,"mmm")</f>
        <v>Feb</v>
      </c>
    </row>
    <row r="184" customFormat="false" ht="15" hidden="false" customHeight="false" outlineLevel="0" collapsed="false">
      <c r="A184" s="11" t="s">
        <v>245</v>
      </c>
      <c r="B184" s="20" t="n">
        <v>45713</v>
      </c>
      <c r="C184" s="11" t="s">
        <v>18</v>
      </c>
      <c r="D184" s="11" t="s">
        <v>37</v>
      </c>
      <c r="E184" s="11" t="s">
        <v>53</v>
      </c>
      <c r="F184" s="11" t="s">
        <v>45</v>
      </c>
      <c r="G184" s="11" t="n">
        <v>33</v>
      </c>
      <c r="H184" s="21" t="n">
        <v>9</v>
      </c>
      <c r="I184" s="21" t="n">
        <v>4.5</v>
      </c>
      <c r="J184" s="22" t="n">
        <v>0.15</v>
      </c>
      <c r="K184" s="21" t="n">
        <f aca="false">G184*H184*(1-J184)</f>
        <v>252.45</v>
      </c>
      <c r="L184" s="21" t="n">
        <f aca="false">G184*I184</f>
        <v>148.5</v>
      </c>
      <c r="M184" s="21" t="n">
        <f aca="false">K184-L184</f>
        <v>103.95</v>
      </c>
      <c r="N184" s="11" t="str">
        <f aca="false">TEXT(B184,"mmm")</f>
        <v>Feb</v>
      </c>
    </row>
    <row r="185" customFormat="false" ht="15" hidden="false" customHeight="false" outlineLevel="0" collapsed="false">
      <c r="A185" s="11" t="s">
        <v>246</v>
      </c>
      <c r="B185" s="20" t="n">
        <v>45713</v>
      </c>
      <c r="C185" s="11" t="s">
        <v>18</v>
      </c>
      <c r="D185" s="11" t="s">
        <v>35</v>
      </c>
      <c r="E185" s="11" t="s">
        <v>55</v>
      </c>
      <c r="F185" s="11" t="s">
        <v>44</v>
      </c>
      <c r="G185" s="11" t="n">
        <v>4</v>
      </c>
      <c r="H185" s="21" t="n">
        <v>150</v>
      </c>
      <c r="I185" s="21" t="n">
        <v>82</v>
      </c>
      <c r="J185" s="22" t="n">
        <v>0</v>
      </c>
      <c r="K185" s="21" t="n">
        <f aca="false">G185*H185*(1-J185)</f>
        <v>600</v>
      </c>
      <c r="L185" s="21" t="n">
        <f aca="false">G185*I185</f>
        <v>328</v>
      </c>
      <c r="M185" s="21" t="n">
        <f aca="false">K185-L185</f>
        <v>272</v>
      </c>
      <c r="N185" s="11" t="str">
        <f aca="false">TEXT(B185,"mmm")</f>
        <v>Feb</v>
      </c>
    </row>
    <row r="186" customFormat="false" ht="15" hidden="false" customHeight="false" outlineLevel="0" collapsed="false">
      <c r="A186" s="11" t="s">
        <v>247</v>
      </c>
      <c r="B186" s="20" t="n">
        <v>45713</v>
      </c>
      <c r="C186" s="11" t="s">
        <v>24</v>
      </c>
      <c r="D186" s="11" t="s">
        <v>33</v>
      </c>
      <c r="E186" s="11" t="s">
        <v>48</v>
      </c>
      <c r="F186" s="11" t="s">
        <v>44</v>
      </c>
      <c r="G186" s="11" t="n">
        <v>1</v>
      </c>
      <c r="H186" s="21" t="n">
        <v>520</v>
      </c>
      <c r="I186" s="21" t="n">
        <v>415</v>
      </c>
      <c r="J186" s="22" t="n">
        <v>0</v>
      </c>
      <c r="K186" s="21" t="n">
        <f aca="false">G186*H186*(1-J186)</f>
        <v>520</v>
      </c>
      <c r="L186" s="21" t="n">
        <f aca="false">G186*I186</f>
        <v>415</v>
      </c>
      <c r="M186" s="21" t="n">
        <f aca="false">K186-L186</f>
        <v>105</v>
      </c>
      <c r="N186" s="11" t="str">
        <f aca="false">TEXT(B186,"mmm")</f>
        <v>Feb</v>
      </c>
    </row>
    <row r="187" customFormat="false" ht="15" hidden="false" customHeight="false" outlineLevel="0" collapsed="false">
      <c r="A187" s="11" t="s">
        <v>248</v>
      </c>
      <c r="B187" s="20" t="n">
        <v>45713</v>
      </c>
      <c r="C187" s="11" t="s">
        <v>24</v>
      </c>
      <c r="D187" s="11" t="s">
        <v>37</v>
      </c>
      <c r="E187" s="11" t="s">
        <v>52</v>
      </c>
      <c r="F187" s="11" t="s">
        <v>42</v>
      </c>
      <c r="G187" s="11" t="n">
        <v>2</v>
      </c>
      <c r="H187" s="21" t="n">
        <v>12</v>
      </c>
      <c r="I187" s="21" t="n">
        <v>6</v>
      </c>
      <c r="J187" s="22" t="n">
        <v>0.05</v>
      </c>
      <c r="K187" s="21" t="n">
        <f aca="false">G187*H187*(1-J187)</f>
        <v>22.8</v>
      </c>
      <c r="L187" s="21" t="n">
        <f aca="false">G187*I187</f>
        <v>12</v>
      </c>
      <c r="M187" s="21" t="n">
        <f aca="false">K187-L187</f>
        <v>10.8</v>
      </c>
      <c r="N187" s="11" t="str">
        <f aca="false">TEXT(B187,"mmm")</f>
        <v>Feb</v>
      </c>
    </row>
    <row r="188" customFormat="false" ht="15" hidden="false" customHeight="false" outlineLevel="0" collapsed="false">
      <c r="A188" s="11" t="s">
        <v>249</v>
      </c>
      <c r="B188" s="20" t="n">
        <v>45713</v>
      </c>
      <c r="C188" s="11" t="s">
        <v>22</v>
      </c>
      <c r="D188" s="11" t="s">
        <v>33</v>
      </c>
      <c r="E188" s="11" t="s">
        <v>48</v>
      </c>
      <c r="F188" s="11" t="s">
        <v>42</v>
      </c>
      <c r="G188" s="11" t="n">
        <v>2</v>
      </c>
      <c r="H188" s="21" t="n">
        <v>520</v>
      </c>
      <c r="I188" s="21" t="n">
        <v>415</v>
      </c>
      <c r="J188" s="22" t="n">
        <v>0.05</v>
      </c>
      <c r="K188" s="21" t="n">
        <f aca="false">G188*H188*(1-J188)</f>
        <v>988</v>
      </c>
      <c r="L188" s="21" t="n">
        <f aca="false">G188*I188</f>
        <v>830</v>
      </c>
      <c r="M188" s="21" t="n">
        <f aca="false">K188-L188</f>
        <v>158</v>
      </c>
      <c r="N188" s="11" t="str">
        <f aca="false">TEXT(B188,"mmm")</f>
        <v>Feb</v>
      </c>
    </row>
    <row r="189" customFormat="false" ht="15" hidden="false" customHeight="false" outlineLevel="0" collapsed="false">
      <c r="A189" s="11" t="s">
        <v>250</v>
      </c>
      <c r="B189" s="20" t="n">
        <v>45715</v>
      </c>
      <c r="C189" s="11" t="s">
        <v>18</v>
      </c>
      <c r="D189" s="11" t="s">
        <v>33</v>
      </c>
      <c r="E189" s="11" t="s">
        <v>51</v>
      </c>
      <c r="F189" s="11" t="s">
        <v>45</v>
      </c>
      <c r="G189" s="11" t="n">
        <v>18</v>
      </c>
      <c r="H189" s="21" t="n">
        <v>90</v>
      </c>
      <c r="I189" s="21" t="n">
        <v>58</v>
      </c>
      <c r="J189" s="22" t="n">
        <v>0.1</v>
      </c>
      <c r="K189" s="21" t="n">
        <f aca="false">G189*H189*(1-J189)</f>
        <v>1458</v>
      </c>
      <c r="L189" s="21" t="n">
        <f aca="false">G189*I189</f>
        <v>1044</v>
      </c>
      <c r="M189" s="21" t="n">
        <f aca="false">K189-L189</f>
        <v>414</v>
      </c>
      <c r="N189" s="11" t="str">
        <f aca="false">TEXT(B189,"mmm")</f>
        <v>Feb</v>
      </c>
    </row>
    <row r="190" customFormat="false" ht="15" hidden="false" customHeight="false" outlineLevel="0" collapsed="false">
      <c r="A190" s="11" t="s">
        <v>251</v>
      </c>
      <c r="B190" s="20" t="n">
        <v>45715</v>
      </c>
      <c r="C190" s="11" t="s">
        <v>20</v>
      </c>
      <c r="D190" s="11" t="s">
        <v>37</v>
      </c>
      <c r="E190" s="11" t="s">
        <v>49</v>
      </c>
      <c r="F190" s="11" t="s">
        <v>44</v>
      </c>
      <c r="G190" s="11" t="n">
        <v>10</v>
      </c>
      <c r="H190" s="21" t="n">
        <v>28</v>
      </c>
      <c r="I190" s="21" t="n">
        <v>17</v>
      </c>
      <c r="J190" s="22" t="n">
        <v>0</v>
      </c>
      <c r="K190" s="21" t="n">
        <f aca="false">G190*H190*(1-J190)</f>
        <v>280</v>
      </c>
      <c r="L190" s="21" t="n">
        <f aca="false">G190*I190</f>
        <v>170</v>
      </c>
      <c r="M190" s="21" t="n">
        <f aca="false">K190-L190</f>
        <v>110</v>
      </c>
      <c r="N190" s="11" t="str">
        <f aca="false">TEXT(B190,"mmm")</f>
        <v>Feb</v>
      </c>
    </row>
    <row r="191" customFormat="false" ht="15" hidden="false" customHeight="false" outlineLevel="0" collapsed="false">
      <c r="A191" s="11" t="s">
        <v>252</v>
      </c>
      <c r="B191" s="20" t="n">
        <v>45715</v>
      </c>
      <c r="C191" s="11" t="s">
        <v>22</v>
      </c>
      <c r="D191" s="11" t="s">
        <v>35</v>
      </c>
      <c r="E191" s="11" t="s">
        <v>55</v>
      </c>
      <c r="F191" s="11" t="s">
        <v>45</v>
      </c>
      <c r="G191" s="11" t="n">
        <v>1</v>
      </c>
      <c r="H191" s="21" t="n">
        <v>150</v>
      </c>
      <c r="I191" s="21" t="n">
        <v>82</v>
      </c>
      <c r="J191" s="22" t="n">
        <v>0.1</v>
      </c>
      <c r="K191" s="21" t="n">
        <f aca="false">G191*H191*(1-J191)</f>
        <v>135</v>
      </c>
      <c r="L191" s="21" t="n">
        <f aca="false">G191*I191</f>
        <v>82</v>
      </c>
      <c r="M191" s="21" t="n">
        <f aca="false">K191-L191</f>
        <v>53</v>
      </c>
      <c r="N191" s="11" t="str">
        <f aca="false">TEXT(B191,"mmm")</f>
        <v>Feb</v>
      </c>
    </row>
    <row r="192" customFormat="false" ht="15" hidden="false" customHeight="false" outlineLevel="0" collapsed="false">
      <c r="A192" s="11" t="s">
        <v>253</v>
      </c>
      <c r="B192" s="20" t="n">
        <v>45716</v>
      </c>
      <c r="C192" s="11" t="s">
        <v>24</v>
      </c>
      <c r="D192" s="11" t="s">
        <v>33</v>
      </c>
      <c r="E192" s="11" t="s">
        <v>51</v>
      </c>
      <c r="F192" s="11" t="s">
        <v>44</v>
      </c>
      <c r="G192" s="11" t="n">
        <v>6</v>
      </c>
      <c r="H192" s="21" t="n">
        <v>90</v>
      </c>
      <c r="I192" s="21" t="n">
        <v>58</v>
      </c>
      <c r="J192" s="22" t="n">
        <v>0.05</v>
      </c>
      <c r="K192" s="21" t="n">
        <f aca="false">G192*H192*(1-J192)</f>
        <v>513</v>
      </c>
      <c r="L192" s="21" t="n">
        <f aca="false">G192*I192</f>
        <v>348</v>
      </c>
      <c r="M192" s="21" t="n">
        <f aca="false">K192-L192</f>
        <v>165</v>
      </c>
      <c r="N192" s="11" t="str">
        <f aca="false">TEXT(B192,"mmm")</f>
        <v>Feb</v>
      </c>
    </row>
    <row r="193" customFormat="false" ht="15" hidden="false" customHeight="false" outlineLevel="0" collapsed="false">
      <c r="A193" s="11" t="s">
        <v>254</v>
      </c>
      <c r="B193" s="20" t="n">
        <v>45716</v>
      </c>
      <c r="C193" s="11" t="s">
        <v>18</v>
      </c>
      <c r="D193" s="11" t="s">
        <v>33</v>
      </c>
      <c r="E193" s="11" t="s">
        <v>51</v>
      </c>
      <c r="F193" s="11" t="s">
        <v>42</v>
      </c>
      <c r="G193" s="11" t="n">
        <v>1</v>
      </c>
      <c r="H193" s="21" t="n">
        <v>90</v>
      </c>
      <c r="I193" s="21" t="n">
        <v>58</v>
      </c>
      <c r="J193" s="22" t="n">
        <v>0</v>
      </c>
      <c r="K193" s="21" t="n">
        <f aca="false">G193*H193*(1-J193)</f>
        <v>90</v>
      </c>
      <c r="L193" s="21" t="n">
        <f aca="false">G193*I193</f>
        <v>58</v>
      </c>
      <c r="M193" s="21" t="n">
        <f aca="false">K193-L193</f>
        <v>32</v>
      </c>
      <c r="N193" s="11" t="str">
        <f aca="false">TEXT(B193,"mmm")</f>
        <v>Feb</v>
      </c>
    </row>
    <row r="194" customFormat="false" ht="15" hidden="false" customHeight="false" outlineLevel="0" collapsed="false">
      <c r="A194" s="11" t="s">
        <v>255</v>
      </c>
      <c r="B194" s="20" t="n">
        <v>45716</v>
      </c>
      <c r="C194" s="11" t="s">
        <v>18</v>
      </c>
      <c r="D194" s="11" t="s">
        <v>37</v>
      </c>
      <c r="E194" s="11" t="s">
        <v>49</v>
      </c>
      <c r="F194" s="11" t="s">
        <v>44</v>
      </c>
      <c r="G194" s="11" t="n">
        <v>14</v>
      </c>
      <c r="H194" s="21" t="n">
        <v>28</v>
      </c>
      <c r="I194" s="21" t="n">
        <v>17</v>
      </c>
      <c r="J194" s="22" t="n">
        <v>0.05</v>
      </c>
      <c r="K194" s="21" t="n">
        <f aca="false">G194*H194*(1-J194)</f>
        <v>372.4</v>
      </c>
      <c r="L194" s="21" t="n">
        <f aca="false">G194*I194</f>
        <v>238</v>
      </c>
      <c r="M194" s="21" t="n">
        <f aca="false">K194-L194</f>
        <v>134.4</v>
      </c>
      <c r="N194" s="11" t="str">
        <f aca="false">TEXT(B194,"mmm")</f>
        <v>Feb</v>
      </c>
    </row>
    <row r="195" customFormat="false" ht="15" hidden="false" customHeight="false" outlineLevel="0" collapsed="false">
      <c r="A195" s="11" t="s">
        <v>256</v>
      </c>
      <c r="B195" s="20" t="n">
        <v>45717</v>
      </c>
      <c r="C195" s="11" t="s">
        <v>22</v>
      </c>
      <c r="D195" s="11" t="s">
        <v>33</v>
      </c>
      <c r="E195" s="11" t="s">
        <v>50</v>
      </c>
      <c r="F195" s="11" t="s">
        <v>42</v>
      </c>
      <c r="G195" s="11" t="n">
        <v>1</v>
      </c>
      <c r="H195" s="21" t="n">
        <v>780</v>
      </c>
      <c r="I195" s="21" t="n">
        <v>600</v>
      </c>
      <c r="J195" s="22" t="n">
        <v>0.05</v>
      </c>
      <c r="K195" s="21" t="n">
        <f aca="false">G195*H195*(1-J195)</f>
        <v>741</v>
      </c>
      <c r="L195" s="21" t="n">
        <f aca="false">G195*I195</f>
        <v>600</v>
      </c>
      <c r="M195" s="21" t="n">
        <f aca="false">K195-L195</f>
        <v>141</v>
      </c>
      <c r="N195" s="11" t="str">
        <f aca="false">TEXT(B195,"mmm")</f>
        <v>Mar</v>
      </c>
    </row>
    <row r="196" customFormat="false" ht="15" hidden="false" customHeight="false" outlineLevel="0" collapsed="false">
      <c r="A196" s="11" t="s">
        <v>257</v>
      </c>
      <c r="B196" s="20" t="n">
        <v>45718</v>
      </c>
      <c r="C196" s="11" t="s">
        <v>18</v>
      </c>
      <c r="D196" s="11" t="s">
        <v>33</v>
      </c>
      <c r="E196" s="11" t="s">
        <v>51</v>
      </c>
      <c r="F196" s="11" t="s">
        <v>45</v>
      </c>
      <c r="G196" s="11" t="n">
        <v>3</v>
      </c>
      <c r="H196" s="21" t="n">
        <v>90</v>
      </c>
      <c r="I196" s="21" t="n">
        <v>58</v>
      </c>
      <c r="J196" s="22" t="n">
        <v>0.1</v>
      </c>
      <c r="K196" s="21" t="n">
        <f aca="false">G196*H196*(1-J196)</f>
        <v>243</v>
      </c>
      <c r="L196" s="21" t="n">
        <f aca="false">G196*I196</f>
        <v>174</v>
      </c>
      <c r="M196" s="21" t="n">
        <f aca="false">K196-L196</f>
        <v>69</v>
      </c>
      <c r="N196" s="11" t="str">
        <f aca="false">TEXT(B196,"mmm")</f>
        <v>Mar</v>
      </c>
    </row>
    <row r="197" customFormat="false" ht="15" hidden="false" customHeight="false" outlineLevel="0" collapsed="false">
      <c r="A197" s="11" t="s">
        <v>258</v>
      </c>
      <c r="B197" s="20" t="n">
        <v>45718</v>
      </c>
      <c r="C197" s="11" t="s">
        <v>18</v>
      </c>
      <c r="D197" s="11" t="s">
        <v>33</v>
      </c>
      <c r="E197" s="11" t="s">
        <v>48</v>
      </c>
      <c r="F197" s="11" t="s">
        <v>42</v>
      </c>
      <c r="G197" s="11" t="n">
        <v>1</v>
      </c>
      <c r="H197" s="21" t="n">
        <v>520</v>
      </c>
      <c r="I197" s="21" t="n">
        <v>415</v>
      </c>
      <c r="J197" s="22" t="n">
        <v>0.1</v>
      </c>
      <c r="K197" s="21" t="n">
        <f aca="false">G197*H197*(1-J197)</f>
        <v>468</v>
      </c>
      <c r="L197" s="21" t="n">
        <f aca="false">G197*I197</f>
        <v>415</v>
      </c>
      <c r="M197" s="21" t="n">
        <f aca="false">K197-L197</f>
        <v>53</v>
      </c>
      <c r="N197" s="11" t="str">
        <f aca="false">TEXT(B197,"mmm")</f>
        <v>Mar</v>
      </c>
    </row>
    <row r="198" customFormat="false" ht="15" hidden="false" customHeight="false" outlineLevel="0" collapsed="false">
      <c r="A198" s="11" t="s">
        <v>259</v>
      </c>
      <c r="B198" s="20" t="n">
        <v>45720</v>
      </c>
      <c r="C198" s="11" t="s">
        <v>24</v>
      </c>
      <c r="D198" s="11" t="s">
        <v>33</v>
      </c>
      <c r="E198" s="11" t="s">
        <v>48</v>
      </c>
      <c r="F198" s="11" t="s">
        <v>44</v>
      </c>
      <c r="G198" s="11" t="n">
        <v>3</v>
      </c>
      <c r="H198" s="21" t="n">
        <v>520</v>
      </c>
      <c r="I198" s="21" t="n">
        <v>415</v>
      </c>
      <c r="J198" s="22" t="n">
        <v>0.05</v>
      </c>
      <c r="K198" s="21" t="n">
        <f aca="false">G198*H198*(1-J198)</f>
        <v>1482</v>
      </c>
      <c r="L198" s="21" t="n">
        <f aca="false">G198*I198</f>
        <v>1245</v>
      </c>
      <c r="M198" s="21" t="n">
        <f aca="false">K198-L198</f>
        <v>237</v>
      </c>
      <c r="N198" s="11" t="str">
        <f aca="false">TEXT(B198,"mmm")</f>
        <v>Mar</v>
      </c>
    </row>
    <row r="199" customFormat="false" ht="15" hidden="false" customHeight="false" outlineLevel="0" collapsed="false">
      <c r="A199" s="11" t="s">
        <v>260</v>
      </c>
      <c r="B199" s="20" t="n">
        <v>45720</v>
      </c>
      <c r="C199" s="11" t="s">
        <v>24</v>
      </c>
      <c r="D199" s="11" t="s">
        <v>33</v>
      </c>
      <c r="E199" s="11" t="s">
        <v>48</v>
      </c>
      <c r="F199" s="11" t="s">
        <v>45</v>
      </c>
      <c r="G199" s="11" t="n">
        <v>2</v>
      </c>
      <c r="H199" s="21" t="n">
        <v>520</v>
      </c>
      <c r="I199" s="21" t="n">
        <v>415</v>
      </c>
      <c r="J199" s="22" t="n">
        <v>0.15</v>
      </c>
      <c r="K199" s="21" t="n">
        <f aca="false">G199*H199*(1-J199)</f>
        <v>884</v>
      </c>
      <c r="L199" s="21" t="n">
        <f aca="false">G199*I199</f>
        <v>830</v>
      </c>
      <c r="M199" s="21" t="n">
        <f aca="false">K199-L199</f>
        <v>54</v>
      </c>
      <c r="N199" s="11" t="str">
        <f aca="false">TEXT(B199,"mmm")</f>
        <v>Mar</v>
      </c>
    </row>
    <row r="200" customFormat="false" ht="15" hidden="false" customHeight="false" outlineLevel="0" collapsed="false">
      <c r="A200" s="11" t="s">
        <v>261</v>
      </c>
      <c r="B200" s="20" t="n">
        <v>45720</v>
      </c>
      <c r="C200" s="11" t="s">
        <v>24</v>
      </c>
      <c r="D200" s="11" t="s">
        <v>37</v>
      </c>
      <c r="E200" s="11" t="s">
        <v>53</v>
      </c>
      <c r="F200" s="11" t="s">
        <v>45</v>
      </c>
      <c r="G200" s="11" t="n">
        <v>72</v>
      </c>
      <c r="H200" s="21" t="n">
        <v>9</v>
      </c>
      <c r="I200" s="21" t="n">
        <v>4.5</v>
      </c>
      <c r="J200" s="22" t="n">
        <v>0.2</v>
      </c>
      <c r="K200" s="21" t="n">
        <f aca="false">G200*H200*(1-J200)</f>
        <v>518.4</v>
      </c>
      <c r="L200" s="21" t="n">
        <f aca="false">G200*I200</f>
        <v>324</v>
      </c>
      <c r="M200" s="21" t="n">
        <f aca="false">K200-L200</f>
        <v>194.4</v>
      </c>
      <c r="N200" s="11" t="str">
        <f aca="false">TEXT(B200,"mmm")</f>
        <v>Mar</v>
      </c>
    </row>
    <row r="201" customFormat="false" ht="15" hidden="false" customHeight="false" outlineLevel="0" collapsed="false">
      <c r="A201" s="11" t="s">
        <v>262</v>
      </c>
      <c r="B201" s="20" t="n">
        <v>45720</v>
      </c>
      <c r="C201" s="11" t="s">
        <v>20</v>
      </c>
      <c r="D201" s="11" t="s">
        <v>35</v>
      </c>
      <c r="E201" s="11" t="s">
        <v>54</v>
      </c>
      <c r="F201" s="11" t="s">
        <v>45</v>
      </c>
      <c r="G201" s="11" t="n">
        <v>3</v>
      </c>
      <c r="H201" s="21" t="n">
        <v>320</v>
      </c>
      <c r="I201" s="21" t="n">
        <v>185</v>
      </c>
      <c r="J201" s="22" t="n">
        <v>0.2</v>
      </c>
      <c r="K201" s="21" t="n">
        <f aca="false">G201*H201*(1-J201)</f>
        <v>768</v>
      </c>
      <c r="L201" s="21" t="n">
        <f aca="false">G201*I201</f>
        <v>555</v>
      </c>
      <c r="M201" s="21" t="n">
        <f aca="false">K201-L201</f>
        <v>213</v>
      </c>
      <c r="N201" s="11" t="str">
        <f aca="false">TEXT(B201,"mmm")</f>
        <v>Mar</v>
      </c>
    </row>
    <row r="202" customFormat="false" ht="15" hidden="false" customHeight="false" outlineLevel="0" collapsed="false">
      <c r="A202" s="11" t="s">
        <v>263</v>
      </c>
      <c r="B202" s="20" t="n">
        <v>45720</v>
      </c>
      <c r="C202" s="11" t="s">
        <v>24</v>
      </c>
      <c r="D202" s="11" t="s">
        <v>37</v>
      </c>
      <c r="E202" s="11" t="s">
        <v>52</v>
      </c>
      <c r="F202" s="11" t="s">
        <v>45</v>
      </c>
      <c r="G202" s="11" t="n">
        <v>39</v>
      </c>
      <c r="H202" s="21" t="n">
        <v>12</v>
      </c>
      <c r="I202" s="21" t="n">
        <v>6</v>
      </c>
      <c r="J202" s="22" t="n">
        <v>0.15</v>
      </c>
      <c r="K202" s="21" t="n">
        <f aca="false">G202*H202*(1-J202)</f>
        <v>397.8</v>
      </c>
      <c r="L202" s="21" t="n">
        <f aca="false">G202*I202</f>
        <v>234</v>
      </c>
      <c r="M202" s="21" t="n">
        <f aca="false">K202-L202</f>
        <v>163.8</v>
      </c>
      <c r="N202" s="11" t="str">
        <f aca="false">TEXT(B202,"mmm")</f>
        <v>Mar</v>
      </c>
    </row>
    <row r="203" customFormat="false" ht="15" hidden="false" customHeight="false" outlineLevel="0" collapsed="false">
      <c r="A203" s="11" t="s">
        <v>264</v>
      </c>
      <c r="B203" s="20" t="n">
        <v>45721</v>
      </c>
      <c r="C203" s="11" t="s">
        <v>22</v>
      </c>
      <c r="D203" s="11" t="s">
        <v>37</v>
      </c>
      <c r="E203" s="11" t="s">
        <v>52</v>
      </c>
      <c r="F203" s="11" t="s">
        <v>45</v>
      </c>
      <c r="G203" s="11" t="n">
        <v>78</v>
      </c>
      <c r="H203" s="21" t="n">
        <v>12</v>
      </c>
      <c r="I203" s="21" t="n">
        <v>6</v>
      </c>
      <c r="J203" s="22" t="n">
        <v>0.15</v>
      </c>
      <c r="K203" s="21" t="n">
        <f aca="false">G203*H203*(1-J203)</f>
        <v>795.6</v>
      </c>
      <c r="L203" s="21" t="n">
        <f aca="false">G203*I203</f>
        <v>468</v>
      </c>
      <c r="M203" s="21" t="n">
        <f aca="false">K203-L203</f>
        <v>327.6</v>
      </c>
      <c r="N203" s="11" t="str">
        <f aca="false">TEXT(B203,"mmm")</f>
        <v>Mar</v>
      </c>
    </row>
    <row r="204" customFormat="false" ht="15" hidden="false" customHeight="false" outlineLevel="0" collapsed="false">
      <c r="A204" s="11" t="s">
        <v>265</v>
      </c>
      <c r="B204" s="20" t="n">
        <v>45721</v>
      </c>
      <c r="C204" s="11" t="s">
        <v>24</v>
      </c>
      <c r="D204" s="11" t="s">
        <v>37</v>
      </c>
      <c r="E204" s="11" t="s">
        <v>52</v>
      </c>
      <c r="F204" s="11" t="s">
        <v>44</v>
      </c>
      <c r="G204" s="11" t="n">
        <v>18</v>
      </c>
      <c r="H204" s="21" t="n">
        <v>12</v>
      </c>
      <c r="I204" s="21" t="n">
        <v>6</v>
      </c>
      <c r="J204" s="22" t="n">
        <v>0.1</v>
      </c>
      <c r="K204" s="21" t="n">
        <f aca="false">G204*H204*(1-J204)</f>
        <v>194.4</v>
      </c>
      <c r="L204" s="21" t="n">
        <f aca="false">G204*I204</f>
        <v>108</v>
      </c>
      <c r="M204" s="21" t="n">
        <f aca="false">K204-L204</f>
        <v>86.4</v>
      </c>
      <c r="N204" s="11" t="str">
        <f aca="false">TEXT(B204,"mmm")</f>
        <v>Mar</v>
      </c>
    </row>
    <row r="205" customFormat="false" ht="15" hidden="false" customHeight="false" outlineLevel="0" collapsed="false">
      <c r="A205" s="11" t="s">
        <v>266</v>
      </c>
      <c r="B205" s="20" t="n">
        <v>45721</v>
      </c>
      <c r="C205" s="11" t="s">
        <v>18</v>
      </c>
      <c r="D205" s="11" t="s">
        <v>37</v>
      </c>
      <c r="E205" s="11" t="s">
        <v>49</v>
      </c>
      <c r="F205" s="11" t="s">
        <v>44</v>
      </c>
      <c r="G205" s="11" t="n">
        <v>18</v>
      </c>
      <c r="H205" s="21" t="n">
        <v>28</v>
      </c>
      <c r="I205" s="21" t="n">
        <v>17</v>
      </c>
      <c r="J205" s="22" t="n">
        <v>0.05</v>
      </c>
      <c r="K205" s="21" t="n">
        <f aca="false">G205*H205*(1-J205)</f>
        <v>478.8</v>
      </c>
      <c r="L205" s="21" t="n">
        <f aca="false">G205*I205</f>
        <v>306</v>
      </c>
      <c r="M205" s="21" t="n">
        <f aca="false">K205-L205</f>
        <v>172.8</v>
      </c>
      <c r="N205" s="11" t="str">
        <f aca="false">TEXT(B205,"mmm")</f>
        <v>Mar</v>
      </c>
    </row>
    <row r="206" customFormat="false" ht="15" hidden="false" customHeight="false" outlineLevel="0" collapsed="false">
      <c r="A206" s="11" t="s">
        <v>267</v>
      </c>
      <c r="B206" s="20" t="n">
        <v>45721</v>
      </c>
      <c r="C206" s="11" t="s">
        <v>24</v>
      </c>
      <c r="D206" s="11" t="s">
        <v>37</v>
      </c>
      <c r="E206" s="11" t="s">
        <v>52</v>
      </c>
      <c r="F206" s="11" t="s">
        <v>42</v>
      </c>
      <c r="G206" s="11" t="n">
        <v>1</v>
      </c>
      <c r="H206" s="21" t="n">
        <v>12</v>
      </c>
      <c r="I206" s="21" t="n">
        <v>6</v>
      </c>
      <c r="J206" s="22" t="n">
        <v>0.05</v>
      </c>
      <c r="K206" s="21" t="n">
        <f aca="false">G206*H206*(1-J206)</f>
        <v>11.4</v>
      </c>
      <c r="L206" s="21" t="n">
        <f aca="false">G206*I206</f>
        <v>6</v>
      </c>
      <c r="M206" s="21" t="n">
        <f aca="false">K206-L206</f>
        <v>5.4</v>
      </c>
      <c r="N206" s="11" t="str">
        <f aca="false">TEXT(B206,"mmm")</f>
        <v>Mar</v>
      </c>
    </row>
    <row r="207" customFormat="false" ht="15" hidden="false" customHeight="false" outlineLevel="0" collapsed="false">
      <c r="A207" s="11" t="s">
        <v>268</v>
      </c>
      <c r="B207" s="20" t="n">
        <v>45721</v>
      </c>
      <c r="C207" s="11" t="s">
        <v>24</v>
      </c>
      <c r="D207" s="11" t="s">
        <v>37</v>
      </c>
      <c r="E207" s="11" t="s">
        <v>52</v>
      </c>
      <c r="F207" s="11" t="s">
        <v>45</v>
      </c>
      <c r="G207" s="11" t="n">
        <v>99</v>
      </c>
      <c r="H207" s="21" t="n">
        <v>12</v>
      </c>
      <c r="I207" s="21" t="n">
        <v>6</v>
      </c>
      <c r="J207" s="22" t="n">
        <v>0.1</v>
      </c>
      <c r="K207" s="21" t="n">
        <f aca="false">G207*H207*(1-J207)</f>
        <v>1069.2</v>
      </c>
      <c r="L207" s="21" t="n">
        <f aca="false">G207*I207</f>
        <v>594</v>
      </c>
      <c r="M207" s="21" t="n">
        <f aca="false">K207-L207</f>
        <v>475.2</v>
      </c>
      <c r="N207" s="11" t="str">
        <f aca="false">TEXT(B207,"mmm")</f>
        <v>Mar</v>
      </c>
    </row>
    <row r="208" customFormat="false" ht="15" hidden="false" customHeight="false" outlineLevel="0" collapsed="false">
      <c r="A208" s="11" t="s">
        <v>269</v>
      </c>
      <c r="B208" s="20" t="n">
        <v>45721</v>
      </c>
      <c r="C208" s="11" t="s">
        <v>18</v>
      </c>
      <c r="D208" s="11" t="s">
        <v>33</v>
      </c>
      <c r="E208" s="11" t="s">
        <v>51</v>
      </c>
      <c r="F208" s="11" t="s">
        <v>42</v>
      </c>
      <c r="G208" s="11" t="n">
        <v>6</v>
      </c>
      <c r="H208" s="21" t="n">
        <v>90</v>
      </c>
      <c r="I208" s="21" t="n">
        <v>58</v>
      </c>
      <c r="J208" s="22" t="n">
        <v>0.05</v>
      </c>
      <c r="K208" s="21" t="n">
        <f aca="false">G208*H208*(1-J208)</f>
        <v>513</v>
      </c>
      <c r="L208" s="21" t="n">
        <f aca="false">G208*I208</f>
        <v>348</v>
      </c>
      <c r="M208" s="21" t="n">
        <f aca="false">K208-L208</f>
        <v>165</v>
      </c>
      <c r="N208" s="11" t="str">
        <f aca="false">TEXT(B208,"mmm")</f>
        <v>Mar</v>
      </c>
    </row>
    <row r="209" customFormat="false" ht="15" hidden="false" customHeight="false" outlineLevel="0" collapsed="false">
      <c r="A209" s="11" t="s">
        <v>270</v>
      </c>
      <c r="B209" s="20" t="n">
        <v>45721</v>
      </c>
      <c r="C209" s="11" t="s">
        <v>22</v>
      </c>
      <c r="D209" s="11" t="s">
        <v>35</v>
      </c>
      <c r="E209" s="11" t="s">
        <v>55</v>
      </c>
      <c r="F209" s="11" t="s">
        <v>42</v>
      </c>
      <c r="G209" s="11" t="n">
        <v>2</v>
      </c>
      <c r="H209" s="21" t="n">
        <v>150</v>
      </c>
      <c r="I209" s="21" t="n">
        <v>82</v>
      </c>
      <c r="J209" s="22" t="n">
        <v>0.1</v>
      </c>
      <c r="K209" s="21" t="n">
        <f aca="false">G209*H209*(1-J209)</f>
        <v>270</v>
      </c>
      <c r="L209" s="21" t="n">
        <f aca="false">G209*I209</f>
        <v>164</v>
      </c>
      <c r="M209" s="21" t="n">
        <f aca="false">K209-L209</f>
        <v>106</v>
      </c>
      <c r="N209" s="11" t="str">
        <f aca="false">TEXT(B209,"mmm")</f>
        <v>Mar</v>
      </c>
    </row>
    <row r="210" customFormat="false" ht="15" hidden="false" customHeight="false" outlineLevel="0" collapsed="false">
      <c r="A210" s="11" t="s">
        <v>271</v>
      </c>
      <c r="B210" s="20" t="n">
        <v>45722</v>
      </c>
      <c r="C210" s="11" t="s">
        <v>22</v>
      </c>
      <c r="D210" s="11" t="s">
        <v>33</v>
      </c>
      <c r="E210" s="11" t="s">
        <v>51</v>
      </c>
      <c r="F210" s="11" t="s">
        <v>42</v>
      </c>
      <c r="G210" s="11" t="n">
        <v>3</v>
      </c>
      <c r="H210" s="21" t="n">
        <v>90</v>
      </c>
      <c r="I210" s="21" t="n">
        <v>58</v>
      </c>
      <c r="J210" s="22" t="n">
        <v>0.1</v>
      </c>
      <c r="K210" s="21" t="n">
        <f aca="false">G210*H210*(1-J210)</f>
        <v>243</v>
      </c>
      <c r="L210" s="21" t="n">
        <f aca="false">G210*I210</f>
        <v>174</v>
      </c>
      <c r="M210" s="21" t="n">
        <f aca="false">K210-L210</f>
        <v>69</v>
      </c>
      <c r="N210" s="11" t="str">
        <f aca="false">TEXT(B210,"mmm")</f>
        <v>Mar</v>
      </c>
    </row>
    <row r="211" customFormat="false" ht="15" hidden="false" customHeight="false" outlineLevel="0" collapsed="false">
      <c r="A211" s="11" t="s">
        <v>272</v>
      </c>
      <c r="B211" s="20" t="n">
        <v>45722</v>
      </c>
      <c r="C211" s="11" t="s">
        <v>18</v>
      </c>
      <c r="D211" s="11" t="s">
        <v>37</v>
      </c>
      <c r="E211" s="11" t="s">
        <v>52</v>
      </c>
      <c r="F211" s="11" t="s">
        <v>45</v>
      </c>
      <c r="G211" s="11" t="n">
        <v>90</v>
      </c>
      <c r="H211" s="21" t="n">
        <v>12</v>
      </c>
      <c r="I211" s="21" t="n">
        <v>6</v>
      </c>
      <c r="J211" s="22" t="n">
        <v>0.15</v>
      </c>
      <c r="K211" s="21" t="n">
        <f aca="false">G211*H211*(1-J211)</f>
        <v>918</v>
      </c>
      <c r="L211" s="21" t="n">
        <f aca="false">G211*I211</f>
        <v>540</v>
      </c>
      <c r="M211" s="21" t="n">
        <f aca="false">K211-L211</f>
        <v>378</v>
      </c>
      <c r="N211" s="11" t="str">
        <f aca="false">TEXT(B211,"mmm")</f>
        <v>Mar</v>
      </c>
    </row>
    <row r="212" customFormat="false" ht="15" hidden="false" customHeight="false" outlineLevel="0" collapsed="false">
      <c r="A212" s="11" t="s">
        <v>273</v>
      </c>
      <c r="B212" s="20" t="n">
        <v>45723</v>
      </c>
      <c r="C212" s="11" t="s">
        <v>22</v>
      </c>
      <c r="D212" s="11" t="s">
        <v>37</v>
      </c>
      <c r="E212" s="11" t="s">
        <v>49</v>
      </c>
      <c r="F212" s="11" t="s">
        <v>44</v>
      </c>
      <c r="G212" s="11" t="n">
        <v>29</v>
      </c>
      <c r="H212" s="21" t="n">
        <v>28</v>
      </c>
      <c r="I212" s="21" t="n">
        <v>17</v>
      </c>
      <c r="J212" s="22" t="n">
        <v>0.05</v>
      </c>
      <c r="K212" s="21" t="n">
        <f aca="false">G212*H212*(1-J212)</f>
        <v>771.4</v>
      </c>
      <c r="L212" s="21" t="n">
        <f aca="false">G212*I212</f>
        <v>493</v>
      </c>
      <c r="M212" s="21" t="n">
        <f aca="false">K212-L212</f>
        <v>278.4</v>
      </c>
      <c r="N212" s="11" t="str">
        <f aca="false">TEXT(B212,"mmm")</f>
        <v>Mar</v>
      </c>
    </row>
    <row r="213" customFormat="false" ht="15" hidden="false" customHeight="false" outlineLevel="0" collapsed="false">
      <c r="A213" s="11" t="s">
        <v>274</v>
      </c>
      <c r="B213" s="20" t="n">
        <v>45723</v>
      </c>
      <c r="C213" s="11" t="s">
        <v>18</v>
      </c>
      <c r="D213" s="11" t="s">
        <v>37</v>
      </c>
      <c r="E213" s="11" t="s">
        <v>52</v>
      </c>
      <c r="F213" s="11" t="s">
        <v>45</v>
      </c>
      <c r="G213" s="11" t="n">
        <v>72</v>
      </c>
      <c r="H213" s="21" t="n">
        <v>12</v>
      </c>
      <c r="I213" s="21" t="n">
        <v>6</v>
      </c>
      <c r="J213" s="22" t="n">
        <v>0.15</v>
      </c>
      <c r="K213" s="21" t="n">
        <f aca="false">G213*H213*(1-J213)</f>
        <v>734.4</v>
      </c>
      <c r="L213" s="21" t="n">
        <f aca="false">G213*I213</f>
        <v>432</v>
      </c>
      <c r="M213" s="21" t="n">
        <f aca="false">K213-L213</f>
        <v>302.4</v>
      </c>
      <c r="N213" s="11" t="str">
        <f aca="false">TEXT(B213,"mmm")</f>
        <v>Mar</v>
      </c>
    </row>
    <row r="214" customFormat="false" ht="15" hidden="false" customHeight="false" outlineLevel="0" collapsed="false">
      <c r="A214" s="11" t="s">
        <v>275</v>
      </c>
      <c r="B214" s="20" t="n">
        <v>45723</v>
      </c>
      <c r="C214" s="11" t="s">
        <v>22</v>
      </c>
      <c r="D214" s="11" t="s">
        <v>37</v>
      </c>
      <c r="E214" s="11" t="s">
        <v>49</v>
      </c>
      <c r="F214" s="11" t="s">
        <v>42</v>
      </c>
      <c r="G214" s="11" t="n">
        <v>24</v>
      </c>
      <c r="H214" s="21" t="n">
        <v>28</v>
      </c>
      <c r="I214" s="21" t="n">
        <v>17</v>
      </c>
      <c r="J214" s="22" t="n">
        <v>0.1</v>
      </c>
      <c r="K214" s="21" t="n">
        <f aca="false">G214*H214*(1-J214)</f>
        <v>604.8</v>
      </c>
      <c r="L214" s="21" t="n">
        <f aca="false">G214*I214</f>
        <v>408</v>
      </c>
      <c r="M214" s="21" t="n">
        <f aca="false">K214-L214</f>
        <v>196.8</v>
      </c>
      <c r="N214" s="11" t="str">
        <f aca="false">TEXT(B214,"mmm")</f>
        <v>Mar</v>
      </c>
    </row>
    <row r="215" customFormat="false" ht="15" hidden="false" customHeight="false" outlineLevel="0" collapsed="false">
      <c r="A215" s="11" t="s">
        <v>276</v>
      </c>
      <c r="B215" s="20" t="n">
        <v>45724</v>
      </c>
      <c r="C215" s="11" t="s">
        <v>18</v>
      </c>
      <c r="D215" s="11" t="s">
        <v>37</v>
      </c>
      <c r="E215" s="11" t="s">
        <v>53</v>
      </c>
      <c r="F215" s="11" t="s">
        <v>42</v>
      </c>
      <c r="G215" s="11" t="n">
        <v>20</v>
      </c>
      <c r="H215" s="21" t="n">
        <v>9</v>
      </c>
      <c r="I215" s="21" t="n">
        <v>4.5</v>
      </c>
      <c r="J215" s="22" t="n">
        <v>0.1</v>
      </c>
      <c r="K215" s="21" t="n">
        <f aca="false">G215*H215*(1-J215)</f>
        <v>162</v>
      </c>
      <c r="L215" s="21" t="n">
        <f aca="false">G215*I215</f>
        <v>90</v>
      </c>
      <c r="M215" s="21" t="n">
        <f aca="false">K215-L215</f>
        <v>72</v>
      </c>
      <c r="N215" s="11" t="str">
        <f aca="false">TEXT(B215,"mmm")</f>
        <v>Mar</v>
      </c>
    </row>
    <row r="216" customFormat="false" ht="15" hidden="false" customHeight="false" outlineLevel="0" collapsed="false">
      <c r="A216" s="11" t="s">
        <v>277</v>
      </c>
      <c r="B216" s="20" t="n">
        <v>45724</v>
      </c>
      <c r="C216" s="11" t="s">
        <v>18</v>
      </c>
      <c r="D216" s="11" t="s">
        <v>33</v>
      </c>
      <c r="E216" s="11" t="s">
        <v>50</v>
      </c>
      <c r="F216" s="11" t="s">
        <v>44</v>
      </c>
      <c r="G216" s="11" t="n">
        <v>2</v>
      </c>
      <c r="H216" s="21" t="n">
        <v>780</v>
      </c>
      <c r="I216" s="21" t="n">
        <v>600</v>
      </c>
      <c r="J216" s="22" t="n">
        <v>0.1</v>
      </c>
      <c r="K216" s="21" t="n">
        <f aca="false">G216*H216*(1-J216)</f>
        <v>1404</v>
      </c>
      <c r="L216" s="21" t="n">
        <f aca="false">G216*I216</f>
        <v>1200</v>
      </c>
      <c r="M216" s="21" t="n">
        <f aca="false">K216-L216</f>
        <v>204</v>
      </c>
      <c r="N216" s="11" t="str">
        <f aca="false">TEXT(B216,"mmm")</f>
        <v>Mar</v>
      </c>
    </row>
    <row r="217" customFormat="false" ht="15" hidden="false" customHeight="false" outlineLevel="0" collapsed="false">
      <c r="A217" s="11" t="s">
        <v>278</v>
      </c>
      <c r="B217" s="20" t="n">
        <v>45724</v>
      </c>
      <c r="C217" s="11" t="s">
        <v>20</v>
      </c>
      <c r="D217" s="11" t="s">
        <v>37</v>
      </c>
      <c r="E217" s="11" t="s">
        <v>53</v>
      </c>
      <c r="F217" s="11" t="s">
        <v>42</v>
      </c>
      <c r="G217" s="11" t="n">
        <v>28</v>
      </c>
      <c r="H217" s="21" t="n">
        <v>9</v>
      </c>
      <c r="I217" s="21" t="n">
        <v>4.5</v>
      </c>
      <c r="J217" s="22" t="n">
        <v>0.1</v>
      </c>
      <c r="K217" s="21" t="n">
        <f aca="false">G217*H217*(1-J217)</f>
        <v>226.8</v>
      </c>
      <c r="L217" s="21" t="n">
        <f aca="false">G217*I217</f>
        <v>126</v>
      </c>
      <c r="M217" s="21" t="n">
        <f aca="false">K217-L217</f>
        <v>100.8</v>
      </c>
      <c r="N217" s="11" t="str">
        <f aca="false">TEXT(B217,"mmm")</f>
        <v>Mar</v>
      </c>
    </row>
    <row r="218" customFormat="false" ht="15" hidden="false" customHeight="false" outlineLevel="0" collapsed="false">
      <c r="A218" s="11" t="s">
        <v>279</v>
      </c>
      <c r="B218" s="20" t="n">
        <v>45724</v>
      </c>
      <c r="C218" s="11" t="s">
        <v>18</v>
      </c>
      <c r="D218" s="11" t="s">
        <v>37</v>
      </c>
      <c r="E218" s="11" t="s">
        <v>52</v>
      </c>
      <c r="F218" s="11" t="s">
        <v>44</v>
      </c>
      <c r="G218" s="11" t="n">
        <v>10</v>
      </c>
      <c r="H218" s="21" t="n">
        <v>12</v>
      </c>
      <c r="I218" s="21" t="n">
        <v>6</v>
      </c>
      <c r="J218" s="22" t="n">
        <v>0.05</v>
      </c>
      <c r="K218" s="21" t="n">
        <f aca="false">G218*H218*(1-J218)</f>
        <v>114</v>
      </c>
      <c r="L218" s="21" t="n">
        <f aca="false">G218*I218</f>
        <v>60</v>
      </c>
      <c r="M218" s="21" t="n">
        <f aca="false">K218-L218</f>
        <v>54</v>
      </c>
      <c r="N218" s="11" t="str">
        <f aca="false">TEXT(B218,"mmm")</f>
        <v>Mar</v>
      </c>
    </row>
    <row r="219" customFormat="false" ht="15" hidden="false" customHeight="false" outlineLevel="0" collapsed="false">
      <c r="A219" s="11" t="s">
        <v>280</v>
      </c>
      <c r="B219" s="20" t="n">
        <v>45725</v>
      </c>
      <c r="C219" s="11" t="s">
        <v>22</v>
      </c>
      <c r="D219" s="11" t="s">
        <v>37</v>
      </c>
      <c r="E219" s="11" t="s">
        <v>49</v>
      </c>
      <c r="F219" s="11" t="s">
        <v>42</v>
      </c>
      <c r="G219" s="11" t="n">
        <v>39</v>
      </c>
      <c r="H219" s="21" t="n">
        <v>28</v>
      </c>
      <c r="I219" s="21" t="n">
        <v>17</v>
      </c>
      <c r="J219" s="22" t="n">
        <v>0</v>
      </c>
      <c r="K219" s="21" t="n">
        <f aca="false">G219*H219*(1-J219)</f>
        <v>1092</v>
      </c>
      <c r="L219" s="21" t="n">
        <f aca="false">G219*I219</f>
        <v>663</v>
      </c>
      <c r="M219" s="21" t="n">
        <f aca="false">K219-L219</f>
        <v>429</v>
      </c>
      <c r="N219" s="11" t="str">
        <f aca="false">TEXT(B219,"mmm")</f>
        <v>Mar</v>
      </c>
    </row>
    <row r="220" customFormat="false" ht="15" hidden="false" customHeight="false" outlineLevel="0" collapsed="false">
      <c r="A220" s="11" t="s">
        <v>281</v>
      </c>
      <c r="B220" s="20" t="n">
        <v>45726</v>
      </c>
      <c r="C220" s="11" t="s">
        <v>18</v>
      </c>
      <c r="D220" s="11" t="s">
        <v>35</v>
      </c>
      <c r="E220" s="11" t="s">
        <v>55</v>
      </c>
      <c r="F220" s="11" t="s">
        <v>42</v>
      </c>
      <c r="G220" s="11" t="n">
        <v>4</v>
      </c>
      <c r="H220" s="21" t="n">
        <v>150</v>
      </c>
      <c r="I220" s="21" t="n">
        <v>82</v>
      </c>
      <c r="J220" s="22" t="n">
        <v>0.05</v>
      </c>
      <c r="K220" s="21" t="n">
        <f aca="false">G220*H220*(1-J220)</f>
        <v>570</v>
      </c>
      <c r="L220" s="21" t="n">
        <f aca="false">G220*I220</f>
        <v>328</v>
      </c>
      <c r="M220" s="21" t="n">
        <f aca="false">K220-L220</f>
        <v>242</v>
      </c>
      <c r="N220" s="11" t="str">
        <f aca="false">TEXT(B220,"mmm")</f>
        <v>Mar</v>
      </c>
    </row>
    <row r="221" customFormat="false" ht="15" hidden="false" customHeight="false" outlineLevel="0" collapsed="false">
      <c r="A221" s="11" t="s">
        <v>282</v>
      </c>
      <c r="B221" s="20" t="n">
        <v>45726</v>
      </c>
      <c r="C221" s="11" t="s">
        <v>24</v>
      </c>
      <c r="D221" s="11" t="s">
        <v>37</v>
      </c>
      <c r="E221" s="11" t="s">
        <v>52</v>
      </c>
      <c r="F221" s="11" t="s">
        <v>44</v>
      </c>
      <c r="G221" s="11" t="n">
        <v>31</v>
      </c>
      <c r="H221" s="21" t="n">
        <v>12</v>
      </c>
      <c r="I221" s="21" t="n">
        <v>6</v>
      </c>
      <c r="J221" s="22" t="n">
        <v>0</v>
      </c>
      <c r="K221" s="21" t="n">
        <f aca="false">G221*H221*(1-J221)</f>
        <v>372</v>
      </c>
      <c r="L221" s="21" t="n">
        <f aca="false">G221*I221</f>
        <v>186</v>
      </c>
      <c r="M221" s="21" t="n">
        <f aca="false">K221-L221</f>
        <v>186</v>
      </c>
      <c r="N221" s="11" t="str">
        <f aca="false">TEXT(B221,"mmm")</f>
        <v>Mar</v>
      </c>
    </row>
    <row r="222" customFormat="false" ht="15" hidden="false" customHeight="false" outlineLevel="0" collapsed="false">
      <c r="A222" s="11" t="s">
        <v>283</v>
      </c>
      <c r="B222" s="20" t="n">
        <v>45726</v>
      </c>
      <c r="C222" s="11" t="s">
        <v>22</v>
      </c>
      <c r="D222" s="11" t="s">
        <v>33</v>
      </c>
      <c r="E222" s="11" t="s">
        <v>50</v>
      </c>
      <c r="F222" s="11" t="s">
        <v>42</v>
      </c>
      <c r="G222" s="11" t="n">
        <v>2</v>
      </c>
      <c r="H222" s="21" t="n">
        <v>780</v>
      </c>
      <c r="I222" s="21" t="n">
        <v>600</v>
      </c>
      <c r="J222" s="22" t="n">
        <v>0</v>
      </c>
      <c r="K222" s="21" t="n">
        <f aca="false">G222*H222*(1-J222)</f>
        <v>1560</v>
      </c>
      <c r="L222" s="21" t="n">
        <f aca="false">G222*I222</f>
        <v>1200</v>
      </c>
      <c r="M222" s="21" t="n">
        <f aca="false">K222-L222</f>
        <v>360</v>
      </c>
      <c r="N222" s="11" t="str">
        <f aca="false">TEXT(B222,"mmm")</f>
        <v>Mar</v>
      </c>
    </row>
    <row r="223" customFormat="false" ht="15" hidden="false" customHeight="false" outlineLevel="0" collapsed="false">
      <c r="A223" s="11" t="s">
        <v>284</v>
      </c>
      <c r="B223" s="20" t="n">
        <v>45726</v>
      </c>
      <c r="C223" s="11" t="s">
        <v>24</v>
      </c>
      <c r="D223" s="11" t="s">
        <v>33</v>
      </c>
      <c r="E223" s="11" t="s">
        <v>48</v>
      </c>
      <c r="F223" s="11" t="s">
        <v>42</v>
      </c>
      <c r="G223" s="11" t="n">
        <v>2</v>
      </c>
      <c r="H223" s="21" t="n">
        <v>520</v>
      </c>
      <c r="I223" s="21" t="n">
        <v>415</v>
      </c>
      <c r="J223" s="22" t="n">
        <v>0.05</v>
      </c>
      <c r="K223" s="21" t="n">
        <f aca="false">G223*H223*(1-J223)</f>
        <v>988</v>
      </c>
      <c r="L223" s="21" t="n">
        <f aca="false">G223*I223</f>
        <v>830</v>
      </c>
      <c r="M223" s="21" t="n">
        <f aca="false">K223-L223</f>
        <v>158</v>
      </c>
      <c r="N223" s="11" t="str">
        <f aca="false">TEXT(B223,"mmm")</f>
        <v>Mar</v>
      </c>
    </row>
    <row r="224" customFormat="false" ht="15" hidden="false" customHeight="false" outlineLevel="0" collapsed="false">
      <c r="A224" s="11" t="s">
        <v>285</v>
      </c>
      <c r="B224" s="20" t="n">
        <v>45726</v>
      </c>
      <c r="C224" s="11" t="s">
        <v>20</v>
      </c>
      <c r="D224" s="11" t="s">
        <v>35</v>
      </c>
      <c r="E224" s="11" t="s">
        <v>54</v>
      </c>
      <c r="F224" s="11" t="s">
        <v>45</v>
      </c>
      <c r="G224" s="11" t="n">
        <v>3</v>
      </c>
      <c r="H224" s="21" t="n">
        <v>320</v>
      </c>
      <c r="I224" s="21" t="n">
        <v>185</v>
      </c>
      <c r="J224" s="22" t="n">
        <v>0.2</v>
      </c>
      <c r="K224" s="21" t="n">
        <f aca="false">G224*H224*(1-J224)</f>
        <v>768</v>
      </c>
      <c r="L224" s="21" t="n">
        <f aca="false">G224*I224</f>
        <v>555</v>
      </c>
      <c r="M224" s="21" t="n">
        <f aca="false">K224-L224</f>
        <v>213</v>
      </c>
      <c r="N224" s="11" t="str">
        <f aca="false">TEXT(B224,"mmm")</f>
        <v>Mar</v>
      </c>
    </row>
    <row r="225" customFormat="false" ht="15" hidden="false" customHeight="false" outlineLevel="0" collapsed="false">
      <c r="A225" s="11" t="s">
        <v>286</v>
      </c>
      <c r="B225" s="20" t="n">
        <v>45727</v>
      </c>
      <c r="C225" s="11" t="s">
        <v>22</v>
      </c>
      <c r="D225" s="11" t="s">
        <v>35</v>
      </c>
      <c r="E225" s="11" t="s">
        <v>56</v>
      </c>
      <c r="F225" s="11" t="s">
        <v>44</v>
      </c>
      <c r="G225" s="11" t="n">
        <v>2</v>
      </c>
      <c r="H225" s="21" t="n">
        <v>110</v>
      </c>
      <c r="I225" s="21" t="n">
        <v>62</v>
      </c>
      <c r="J225" s="22" t="n">
        <v>0.1</v>
      </c>
      <c r="K225" s="21" t="n">
        <f aca="false">G225*H225*(1-J225)</f>
        <v>198</v>
      </c>
      <c r="L225" s="21" t="n">
        <f aca="false">G225*I225</f>
        <v>124</v>
      </c>
      <c r="M225" s="21" t="n">
        <f aca="false">K225-L225</f>
        <v>74</v>
      </c>
      <c r="N225" s="11" t="str">
        <f aca="false">TEXT(B225,"mmm")</f>
        <v>Mar</v>
      </c>
    </row>
    <row r="226" customFormat="false" ht="15" hidden="false" customHeight="false" outlineLevel="0" collapsed="false">
      <c r="A226" s="11" t="s">
        <v>287</v>
      </c>
      <c r="B226" s="20" t="n">
        <v>45727</v>
      </c>
      <c r="C226" s="11" t="s">
        <v>18</v>
      </c>
      <c r="D226" s="11" t="s">
        <v>35</v>
      </c>
      <c r="E226" s="11" t="s">
        <v>54</v>
      </c>
      <c r="F226" s="11" t="s">
        <v>42</v>
      </c>
      <c r="G226" s="11" t="n">
        <v>3</v>
      </c>
      <c r="H226" s="21" t="n">
        <v>320</v>
      </c>
      <c r="I226" s="21" t="n">
        <v>185</v>
      </c>
      <c r="J226" s="22" t="n">
        <v>0.1</v>
      </c>
      <c r="K226" s="21" t="n">
        <f aca="false">G226*H226*(1-J226)</f>
        <v>864</v>
      </c>
      <c r="L226" s="21" t="n">
        <f aca="false">G226*I226</f>
        <v>555</v>
      </c>
      <c r="M226" s="21" t="n">
        <f aca="false">K226-L226</f>
        <v>309</v>
      </c>
      <c r="N226" s="11" t="str">
        <f aca="false">TEXT(B226,"mmm")</f>
        <v>Mar</v>
      </c>
    </row>
    <row r="227" customFormat="false" ht="15" hidden="false" customHeight="false" outlineLevel="0" collapsed="false">
      <c r="A227" s="11" t="s">
        <v>288</v>
      </c>
      <c r="B227" s="20" t="n">
        <v>45728</v>
      </c>
      <c r="C227" s="11" t="s">
        <v>20</v>
      </c>
      <c r="D227" s="11" t="s">
        <v>37</v>
      </c>
      <c r="E227" s="11" t="s">
        <v>49</v>
      </c>
      <c r="F227" s="11" t="s">
        <v>44</v>
      </c>
      <c r="G227" s="11" t="n">
        <v>9</v>
      </c>
      <c r="H227" s="21" t="n">
        <v>28</v>
      </c>
      <c r="I227" s="21" t="n">
        <v>17</v>
      </c>
      <c r="J227" s="22" t="n">
        <v>0.05</v>
      </c>
      <c r="K227" s="21" t="n">
        <f aca="false">G227*H227*(1-J227)</f>
        <v>239.4</v>
      </c>
      <c r="L227" s="21" t="n">
        <f aca="false">G227*I227</f>
        <v>153</v>
      </c>
      <c r="M227" s="21" t="n">
        <f aca="false">K227-L227</f>
        <v>86.4</v>
      </c>
      <c r="N227" s="11" t="str">
        <f aca="false">TEXT(B227,"mmm")</f>
        <v>Mar</v>
      </c>
    </row>
    <row r="228" customFormat="false" ht="15" hidden="false" customHeight="false" outlineLevel="0" collapsed="false">
      <c r="A228" s="11" t="s">
        <v>289</v>
      </c>
      <c r="B228" s="20" t="n">
        <v>45728</v>
      </c>
      <c r="C228" s="11" t="s">
        <v>22</v>
      </c>
      <c r="D228" s="11" t="s">
        <v>33</v>
      </c>
      <c r="E228" s="11" t="s">
        <v>51</v>
      </c>
      <c r="F228" s="11" t="s">
        <v>42</v>
      </c>
      <c r="G228" s="11" t="n">
        <v>3</v>
      </c>
      <c r="H228" s="21" t="n">
        <v>90</v>
      </c>
      <c r="I228" s="21" t="n">
        <v>58</v>
      </c>
      <c r="J228" s="22" t="n">
        <v>0.1</v>
      </c>
      <c r="K228" s="21" t="n">
        <f aca="false">G228*H228*(1-J228)</f>
        <v>243</v>
      </c>
      <c r="L228" s="21" t="n">
        <f aca="false">G228*I228</f>
        <v>174</v>
      </c>
      <c r="M228" s="21" t="n">
        <f aca="false">K228-L228</f>
        <v>69</v>
      </c>
      <c r="N228" s="11" t="str">
        <f aca="false">TEXT(B228,"mmm")</f>
        <v>Mar</v>
      </c>
    </row>
    <row r="229" customFormat="false" ht="15" hidden="false" customHeight="false" outlineLevel="0" collapsed="false">
      <c r="A229" s="11" t="s">
        <v>290</v>
      </c>
      <c r="B229" s="20" t="n">
        <v>45728</v>
      </c>
      <c r="C229" s="11" t="s">
        <v>18</v>
      </c>
      <c r="D229" s="11" t="s">
        <v>37</v>
      </c>
      <c r="E229" s="11" t="s">
        <v>52</v>
      </c>
      <c r="F229" s="11" t="s">
        <v>42</v>
      </c>
      <c r="G229" s="11" t="n">
        <v>18</v>
      </c>
      <c r="H229" s="21" t="n">
        <v>12</v>
      </c>
      <c r="I229" s="21" t="n">
        <v>6</v>
      </c>
      <c r="J229" s="22" t="n">
        <v>0.15</v>
      </c>
      <c r="K229" s="21" t="n">
        <f aca="false">G229*H229*(1-J229)</f>
        <v>183.6</v>
      </c>
      <c r="L229" s="21" t="n">
        <f aca="false">G229*I229</f>
        <v>108</v>
      </c>
      <c r="M229" s="21" t="n">
        <f aca="false">K229-L229</f>
        <v>75.6</v>
      </c>
      <c r="N229" s="11" t="str">
        <f aca="false">TEXT(B229,"mmm")</f>
        <v>Mar</v>
      </c>
    </row>
    <row r="230" customFormat="false" ht="15" hidden="false" customHeight="false" outlineLevel="0" collapsed="false">
      <c r="A230" s="11" t="s">
        <v>291</v>
      </c>
      <c r="B230" s="20" t="n">
        <v>45728</v>
      </c>
      <c r="C230" s="11" t="s">
        <v>20</v>
      </c>
      <c r="D230" s="11" t="s">
        <v>33</v>
      </c>
      <c r="E230" s="11" t="s">
        <v>51</v>
      </c>
      <c r="F230" s="11" t="s">
        <v>42</v>
      </c>
      <c r="G230" s="11" t="n">
        <v>1</v>
      </c>
      <c r="H230" s="21" t="n">
        <v>90</v>
      </c>
      <c r="I230" s="21" t="n">
        <v>58</v>
      </c>
      <c r="J230" s="22" t="n">
        <v>0.1</v>
      </c>
      <c r="K230" s="21" t="n">
        <f aca="false">G230*H230*(1-J230)</f>
        <v>81</v>
      </c>
      <c r="L230" s="21" t="n">
        <f aca="false">G230*I230</f>
        <v>58</v>
      </c>
      <c r="M230" s="21" t="n">
        <f aca="false">K230-L230</f>
        <v>23</v>
      </c>
      <c r="N230" s="11" t="str">
        <f aca="false">TEXT(B230,"mmm")</f>
        <v>Mar</v>
      </c>
    </row>
    <row r="231" customFormat="false" ht="15" hidden="false" customHeight="false" outlineLevel="0" collapsed="false">
      <c r="A231" s="11" t="s">
        <v>292</v>
      </c>
      <c r="B231" s="20" t="n">
        <v>45728</v>
      </c>
      <c r="C231" s="11" t="s">
        <v>18</v>
      </c>
      <c r="D231" s="11" t="s">
        <v>35</v>
      </c>
      <c r="E231" s="11" t="s">
        <v>56</v>
      </c>
      <c r="F231" s="11" t="s">
        <v>42</v>
      </c>
      <c r="G231" s="11" t="n">
        <v>1</v>
      </c>
      <c r="H231" s="21" t="n">
        <v>110</v>
      </c>
      <c r="I231" s="21" t="n">
        <v>62</v>
      </c>
      <c r="J231" s="22" t="n">
        <v>0.05</v>
      </c>
      <c r="K231" s="21" t="n">
        <f aca="false">G231*H231*(1-J231)</f>
        <v>104.5</v>
      </c>
      <c r="L231" s="21" t="n">
        <f aca="false">G231*I231</f>
        <v>62</v>
      </c>
      <c r="M231" s="21" t="n">
        <f aca="false">K231-L231</f>
        <v>42.5</v>
      </c>
      <c r="N231" s="11" t="str">
        <f aca="false">TEXT(B231,"mmm")</f>
        <v>Mar</v>
      </c>
    </row>
    <row r="232" customFormat="false" ht="15" hidden="false" customHeight="false" outlineLevel="0" collapsed="false">
      <c r="A232" s="11" t="s">
        <v>293</v>
      </c>
      <c r="B232" s="20" t="n">
        <v>45729</v>
      </c>
      <c r="C232" s="11" t="s">
        <v>18</v>
      </c>
      <c r="D232" s="11" t="s">
        <v>37</v>
      </c>
      <c r="E232" s="11" t="s">
        <v>53</v>
      </c>
      <c r="F232" s="11" t="s">
        <v>42</v>
      </c>
      <c r="G232" s="11" t="n">
        <v>16</v>
      </c>
      <c r="H232" s="21" t="n">
        <v>9</v>
      </c>
      <c r="I232" s="21" t="n">
        <v>4.5</v>
      </c>
      <c r="J232" s="22" t="n">
        <v>0.05</v>
      </c>
      <c r="K232" s="21" t="n">
        <f aca="false">G232*H232*(1-J232)</f>
        <v>136.8</v>
      </c>
      <c r="L232" s="21" t="n">
        <f aca="false">G232*I232</f>
        <v>72</v>
      </c>
      <c r="M232" s="21" t="n">
        <f aca="false">K232-L232</f>
        <v>64.8</v>
      </c>
      <c r="N232" s="11" t="str">
        <f aca="false">TEXT(B232,"mmm")</f>
        <v>Mar</v>
      </c>
    </row>
    <row r="233" customFormat="false" ht="15" hidden="false" customHeight="false" outlineLevel="0" collapsed="false">
      <c r="A233" s="11" t="s">
        <v>294</v>
      </c>
      <c r="B233" s="20" t="n">
        <v>45729</v>
      </c>
      <c r="C233" s="11" t="s">
        <v>18</v>
      </c>
      <c r="D233" s="11" t="s">
        <v>37</v>
      </c>
      <c r="E233" s="11" t="s">
        <v>53</v>
      </c>
      <c r="F233" s="11" t="s">
        <v>42</v>
      </c>
      <c r="G233" s="11" t="n">
        <v>6</v>
      </c>
      <c r="H233" s="21" t="n">
        <v>9</v>
      </c>
      <c r="I233" s="21" t="n">
        <v>4.5</v>
      </c>
      <c r="J233" s="22" t="n">
        <v>0.05</v>
      </c>
      <c r="K233" s="21" t="n">
        <f aca="false">G233*H233*(1-J233)</f>
        <v>51.3</v>
      </c>
      <c r="L233" s="21" t="n">
        <f aca="false">G233*I233</f>
        <v>27</v>
      </c>
      <c r="M233" s="21" t="n">
        <f aca="false">K233-L233</f>
        <v>24.3</v>
      </c>
      <c r="N233" s="11" t="str">
        <f aca="false">TEXT(B233,"mmm")</f>
        <v>Mar</v>
      </c>
    </row>
    <row r="234" customFormat="false" ht="15" hidden="false" customHeight="false" outlineLevel="0" collapsed="false">
      <c r="A234" s="11" t="s">
        <v>295</v>
      </c>
      <c r="B234" s="20" t="n">
        <v>45729</v>
      </c>
      <c r="C234" s="11" t="s">
        <v>18</v>
      </c>
      <c r="D234" s="11" t="s">
        <v>37</v>
      </c>
      <c r="E234" s="11" t="s">
        <v>52</v>
      </c>
      <c r="F234" s="11" t="s">
        <v>44</v>
      </c>
      <c r="G234" s="11" t="n">
        <v>19</v>
      </c>
      <c r="H234" s="21" t="n">
        <v>12</v>
      </c>
      <c r="I234" s="21" t="n">
        <v>6</v>
      </c>
      <c r="J234" s="22" t="n">
        <v>0</v>
      </c>
      <c r="K234" s="21" t="n">
        <f aca="false">G234*H234*(1-J234)</f>
        <v>228</v>
      </c>
      <c r="L234" s="21" t="n">
        <f aca="false">G234*I234</f>
        <v>114</v>
      </c>
      <c r="M234" s="21" t="n">
        <f aca="false">K234-L234</f>
        <v>114</v>
      </c>
      <c r="N234" s="11" t="str">
        <f aca="false">TEXT(B234,"mmm")</f>
        <v>Mar</v>
      </c>
    </row>
    <row r="235" customFormat="false" ht="15" hidden="false" customHeight="false" outlineLevel="0" collapsed="false">
      <c r="A235" s="11" t="s">
        <v>296</v>
      </c>
      <c r="B235" s="20" t="n">
        <v>45729</v>
      </c>
      <c r="C235" s="11" t="s">
        <v>22</v>
      </c>
      <c r="D235" s="11" t="s">
        <v>35</v>
      </c>
      <c r="E235" s="11" t="s">
        <v>54</v>
      </c>
      <c r="F235" s="11" t="s">
        <v>42</v>
      </c>
      <c r="G235" s="11" t="n">
        <v>3</v>
      </c>
      <c r="H235" s="21" t="n">
        <v>320</v>
      </c>
      <c r="I235" s="21" t="n">
        <v>185</v>
      </c>
      <c r="J235" s="22" t="n">
        <v>0</v>
      </c>
      <c r="K235" s="21" t="n">
        <f aca="false">G235*H235*(1-J235)</f>
        <v>960</v>
      </c>
      <c r="L235" s="21" t="n">
        <f aca="false">G235*I235</f>
        <v>555</v>
      </c>
      <c r="M235" s="21" t="n">
        <f aca="false">K235-L235</f>
        <v>405</v>
      </c>
      <c r="N235" s="11" t="str">
        <f aca="false">TEXT(B235,"mmm")</f>
        <v>Mar</v>
      </c>
    </row>
    <row r="236" customFormat="false" ht="15" hidden="false" customHeight="false" outlineLevel="0" collapsed="false">
      <c r="A236" s="11" t="s">
        <v>297</v>
      </c>
      <c r="B236" s="20" t="n">
        <v>45730</v>
      </c>
      <c r="C236" s="11" t="s">
        <v>22</v>
      </c>
      <c r="D236" s="11" t="s">
        <v>33</v>
      </c>
      <c r="E236" s="11" t="s">
        <v>50</v>
      </c>
      <c r="F236" s="11" t="s">
        <v>42</v>
      </c>
      <c r="G236" s="11" t="n">
        <v>1</v>
      </c>
      <c r="H236" s="21" t="n">
        <v>780</v>
      </c>
      <c r="I236" s="21" t="n">
        <v>600</v>
      </c>
      <c r="J236" s="22" t="n">
        <v>0.05</v>
      </c>
      <c r="K236" s="21" t="n">
        <f aca="false">G236*H236*(1-J236)</f>
        <v>741</v>
      </c>
      <c r="L236" s="21" t="n">
        <f aca="false">G236*I236</f>
        <v>600</v>
      </c>
      <c r="M236" s="21" t="n">
        <f aca="false">K236-L236</f>
        <v>141</v>
      </c>
      <c r="N236" s="11" t="str">
        <f aca="false">TEXT(B236,"mmm")</f>
        <v>Mar</v>
      </c>
    </row>
    <row r="237" customFormat="false" ht="15" hidden="false" customHeight="false" outlineLevel="0" collapsed="false">
      <c r="A237" s="11" t="s">
        <v>298</v>
      </c>
      <c r="B237" s="20" t="n">
        <v>45731</v>
      </c>
      <c r="C237" s="11" t="s">
        <v>18</v>
      </c>
      <c r="D237" s="11" t="s">
        <v>35</v>
      </c>
      <c r="E237" s="11" t="s">
        <v>54</v>
      </c>
      <c r="F237" s="11" t="s">
        <v>45</v>
      </c>
      <c r="G237" s="11" t="n">
        <v>3</v>
      </c>
      <c r="H237" s="21" t="n">
        <v>320</v>
      </c>
      <c r="I237" s="21" t="n">
        <v>185</v>
      </c>
      <c r="J237" s="22" t="n">
        <v>0.1</v>
      </c>
      <c r="K237" s="21" t="n">
        <f aca="false">G237*H237*(1-J237)</f>
        <v>864</v>
      </c>
      <c r="L237" s="21" t="n">
        <f aca="false">G237*I237</f>
        <v>555</v>
      </c>
      <c r="M237" s="21" t="n">
        <f aca="false">K237-L237</f>
        <v>309</v>
      </c>
      <c r="N237" s="11" t="str">
        <f aca="false">TEXT(B237,"mmm")</f>
        <v>Mar</v>
      </c>
    </row>
    <row r="238" customFormat="false" ht="15" hidden="false" customHeight="false" outlineLevel="0" collapsed="false">
      <c r="A238" s="11" t="s">
        <v>299</v>
      </c>
      <c r="B238" s="20" t="n">
        <v>45731</v>
      </c>
      <c r="C238" s="11" t="s">
        <v>18</v>
      </c>
      <c r="D238" s="11" t="s">
        <v>33</v>
      </c>
      <c r="E238" s="11" t="s">
        <v>51</v>
      </c>
      <c r="F238" s="11" t="s">
        <v>45</v>
      </c>
      <c r="G238" s="11" t="n">
        <v>18</v>
      </c>
      <c r="H238" s="21" t="n">
        <v>90</v>
      </c>
      <c r="I238" s="21" t="n">
        <v>58</v>
      </c>
      <c r="J238" s="22" t="n">
        <v>0.2</v>
      </c>
      <c r="K238" s="21" t="n">
        <f aca="false">G238*H238*(1-J238)</f>
        <v>1296</v>
      </c>
      <c r="L238" s="21" t="n">
        <f aca="false">G238*I238</f>
        <v>1044</v>
      </c>
      <c r="M238" s="21" t="n">
        <f aca="false">K238-L238</f>
        <v>252</v>
      </c>
      <c r="N238" s="11" t="str">
        <f aca="false">TEXT(B238,"mmm")</f>
        <v>Mar</v>
      </c>
    </row>
    <row r="239" customFormat="false" ht="15" hidden="false" customHeight="false" outlineLevel="0" collapsed="false">
      <c r="A239" s="11" t="s">
        <v>300</v>
      </c>
      <c r="B239" s="20" t="n">
        <v>45731</v>
      </c>
      <c r="C239" s="11" t="s">
        <v>24</v>
      </c>
      <c r="D239" s="11" t="s">
        <v>33</v>
      </c>
      <c r="E239" s="11" t="s">
        <v>48</v>
      </c>
      <c r="F239" s="11" t="s">
        <v>42</v>
      </c>
      <c r="G239" s="11" t="n">
        <v>3</v>
      </c>
      <c r="H239" s="21" t="n">
        <v>520</v>
      </c>
      <c r="I239" s="21" t="n">
        <v>415</v>
      </c>
      <c r="J239" s="22" t="n">
        <v>0.05</v>
      </c>
      <c r="K239" s="21" t="n">
        <f aca="false">G239*H239*(1-J239)</f>
        <v>1482</v>
      </c>
      <c r="L239" s="21" t="n">
        <f aca="false">G239*I239</f>
        <v>1245</v>
      </c>
      <c r="M239" s="21" t="n">
        <f aca="false">K239-L239</f>
        <v>237</v>
      </c>
      <c r="N239" s="11" t="str">
        <f aca="false">TEXT(B239,"mmm")</f>
        <v>Mar</v>
      </c>
    </row>
    <row r="240" customFormat="false" ht="15" hidden="false" customHeight="false" outlineLevel="0" collapsed="false">
      <c r="A240" s="11" t="s">
        <v>301</v>
      </c>
      <c r="B240" s="20" t="n">
        <v>45731</v>
      </c>
      <c r="C240" s="11" t="s">
        <v>18</v>
      </c>
      <c r="D240" s="11" t="s">
        <v>35</v>
      </c>
      <c r="E240" s="11" t="s">
        <v>54</v>
      </c>
      <c r="F240" s="11" t="s">
        <v>42</v>
      </c>
      <c r="G240" s="11" t="n">
        <v>3</v>
      </c>
      <c r="H240" s="21" t="n">
        <v>320</v>
      </c>
      <c r="I240" s="21" t="n">
        <v>185</v>
      </c>
      <c r="J240" s="22" t="n">
        <v>0</v>
      </c>
      <c r="K240" s="21" t="n">
        <f aca="false">G240*H240*(1-J240)</f>
        <v>960</v>
      </c>
      <c r="L240" s="21" t="n">
        <f aca="false">G240*I240</f>
        <v>555</v>
      </c>
      <c r="M240" s="21" t="n">
        <f aca="false">K240-L240</f>
        <v>405</v>
      </c>
      <c r="N240" s="11" t="str">
        <f aca="false">TEXT(B240,"mmm")</f>
        <v>Mar</v>
      </c>
    </row>
    <row r="241" customFormat="false" ht="15" hidden="false" customHeight="false" outlineLevel="0" collapsed="false">
      <c r="A241" s="11" t="s">
        <v>302</v>
      </c>
      <c r="B241" s="20" t="n">
        <v>45732</v>
      </c>
      <c r="C241" s="11" t="s">
        <v>22</v>
      </c>
      <c r="D241" s="11" t="s">
        <v>33</v>
      </c>
      <c r="E241" s="11" t="s">
        <v>48</v>
      </c>
      <c r="F241" s="11" t="s">
        <v>45</v>
      </c>
      <c r="G241" s="11" t="n">
        <v>4</v>
      </c>
      <c r="H241" s="21" t="n">
        <v>520</v>
      </c>
      <c r="I241" s="21" t="n">
        <v>415</v>
      </c>
      <c r="J241" s="22" t="n">
        <v>0.1</v>
      </c>
      <c r="K241" s="21" t="n">
        <f aca="false">G241*H241*(1-J241)</f>
        <v>1872</v>
      </c>
      <c r="L241" s="21" t="n">
        <f aca="false">G241*I241</f>
        <v>1660</v>
      </c>
      <c r="M241" s="21" t="n">
        <f aca="false">K241-L241</f>
        <v>212</v>
      </c>
      <c r="N241" s="11" t="str">
        <f aca="false">TEXT(B241,"mmm")</f>
        <v>Mar</v>
      </c>
    </row>
    <row r="242" customFormat="false" ht="15" hidden="false" customHeight="false" outlineLevel="0" collapsed="false">
      <c r="A242" s="11" t="s">
        <v>303</v>
      </c>
      <c r="B242" s="20" t="n">
        <v>45732</v>
      </c>
      <c r="C242" s="11" t="s">
        <v>20</v>
      </c>
      <c r="D242" s="11" t="s">
        <v>37</v>
      </c>
      <c r="E242" s="11" t="s">
        <v>53</v>
      </c>
      <c r="F242" s="11" t="s">
        <v>45</v>
      </c>
      <c r="G242" s="11" t="n">
        <v>24</v>
      </c>
      <c r="H242" s="21" t="n">
        <v>9</v>
      </c>
      <c r="I242" s="21" t="n">
        <v>4.5</v>
      </c>
      <c r="J242" s="22" t="n">
        <v>0.15</v>
      </c>
      <c r="K242" s="21" t="n">
        <f aca="false">G242*H242*(1-J242)</f>
        <v>183.6</v>
      </c>
      <c r="L242" s="21" t="n">
        <f aca="false">G242*I242</f>
        <v>108</v>
      </c>
      <c r="M242" s="21" t="n">
        <f aca="false">K242-L242</f>
        <v>75.6</v>
      </c>
      <c r="N242" s="11" t="str">
        <f aca="false">TEXT(B242,"mmm")</f>
        <v>Mar</v>
      </c>
    </row>
    <row r="243" customFormat="false" ht="15" hidden="false" customHeight="false" outlineLevel="0" collapsed="false">
      <c r="A243" s="11" t="s">
        <v>304</v>
      </c>
      <c r="B243" s="20" t="n">
        <v>45733</v>
      </c>
      <c r="C243" s="11" t="s">
        <v>20</v>
      </c>
      <c r="D243" s="11" t="s">
        <v>35</v>
      </c>
      <c r="E243" s="11" t="s">
        <v>56</v>
      </c>
      <c r="F243" s="11" t="s">
        <v>45</v>
      </c>
      <c r="G243" s="11" t="n">
        <v>1</v>
      </c>
      <c r="H243" s="21" t="n">
        <v>110</v>
      </c>
      <c r="I243" s="21" t="n">
        <v>62</v>
      </c>
      <c r="J243" s="22" t="n">
        <v>0.2</v>
      </c>
      <c r="K243" s="21" t="n">
        <f aca="false">G243*H243*(1-J243)</f>
        <v>88</v>
      </c>
      <c r="L243" s="21" t="n">
        <f aca="false">G243*I243</f>
        <v>62</v>
      </c>
      <c r="M243" s="21" t="n">
        <f aca="false">K243-L243</f>
        <v>26</v>
      </c>
      <c r="N243" s="11" t="str">
        <f aca="false">TEXT(B243,"mmm")</f>
        <v>Mar</v>
      </c>
    </row>
    <row r="244" customFormat="false" ht="15" hidden="false" customHeight="false" outlineLevel="0" collapsed="false">
      <c r="A244" s="11" t="s">
        <v>305</v>
      </c>
      <c r="B244" s="20" t="n">
        <v>45733</v>
      </c>
      <c r="C244" s="11" t="s">
        <v>20</v>
      </c>
      <c r="D244" s="11" t="s">
        <v>33</v>
      </c>
      <c r="E244" s="11" t="s">
        <v>50</v>
      </c>
      <c r="F244" s="11" t="s">
        <v>42</v>
      </c>
      <c r="G244" s="11" t="n">
        <v>3</v>
      </c>
      <c r="H244" s="21" t="n">
        <v>780</v>
      </c>
      <c r="I244" s="21" t="n">
        <v>600</v>
      </c>
      <c r="J244" s="22" t="n">
        <v>0.05</v>
      </c>
      <c r="K244" s="21" t="n">
        <f aca="false">G244*H244*(1-J244)</f>
        <v>2223</v>
      </c>
      <c r="L244" s="21" t="n">
        <f aca="false">G244*I244</f>
        <v>1800</v>
      </c>
      <c r="M244" s="21" t="n">
        <f aca="false">K244-L244</f>
        <v>423</v>
      </c>
      <c r="N244" s="11" t="str">
        <f aca="false">TEXT(B244,"mmm")</f>
        <v>Mar</v>
      </c>
    </row>
    <row r="245" customFormat="false" ht="15" hidden="false" customHeight="false" outlineLevel="0" collapsed="false">
      <c r="A245" s="11" t="s">
        <v>306</v>
      </c>
      <c r="B245" s="20" t="n">
        <v>45733</v>
      </c>
      <c r="C245" s="11" t="s">
        <v>20</v>
      </c>
      <c r="D245" s="11" t="s">
        <v>33</v>
      </c>
      <c r="E245" s="11" t="s">
        <v>48</v>
      </c>
      <c r="F245" s="11" t="s">
        <v>42</v>
      </c>
      <c r="G245" s="11" t="n">
        <v>2</v>
      </c>
      <c r="H245" s="21" t="n">
        <v>520</v>
      </c>
      <c r="I245" s="21" t="n">
        <v>415</v>
      </c>
      <c r="J245" s="22" t="n">
        <v>0.1</v>
      </c>
      <c r="K245" s="21" t="n">
        <f aca="false">G245*H245*(1-J245)</f>
        <v>936</v>
      </c>
      <c r="L245" s="21" t="n">
        <f aca="false">G245*I245</f>
        <v>830</v>
      </c>
      <c r="M245" s="21" t="n">
        <f aca="false">K245-L245</f>
        <v>106</v>
      </c>
      <c r="N245" s="11" t="str">
        <f aca="false">TEXT(B245,"mmm")</f>
        <v>Mar</v>
      </c>
    </row>
    <row r="246" customFormat="false" ht="15" hidden="false" customHeight="false" outlineLevel="0" collapsed="false">
      <c r="A246" s="11" t="s">
        <v>307</v>
      </c>
      <c r="B246" s="20" t="n">
        <v>45733</v>
      </c>
      <c r="C246" s="11" t="s">
        <v>18</v>
      </c>
      <c r="D246" s="11" t="s">
        <v>37</v>
      </c>
      <c r="E246" s="11" t="s">
        <v>52</v>
      </c>
      <c r="F246" s="11" t="s">
        <v>42</v>
      </c>
      <c r="G246" s="11" t="n">
        <v>6</v>
      </c>
      <c r="H246" s="21" t="n">
        <v>12</v>
      </c>
      <c r="I246" s="21" t="n">
        <v>6</v>
      </c>
      <c r="J246" s="22" t="n">
        <v>0.05</v>
      </c>
      <c r="K246" s="21" t="n">
        <f aca="false">G246*H246*(1-J246)</f>
        <v>68.4</v>
      </c>
      <c r="L246" s="21" t="n">
        <f aca="false">G246*I246</f>
        <v>36</v>
      </c>
      <c r="M246" s="21" t="n">
        <f aca="false">K246-L246</f>
        <v>32.4</v>
      </c>
      <c r="N246" s="11" t="str">
        <f aca="false">TEXT(B246,"mmm")</f>
        <v>Mar</v>
      </c>
    </row>
    <row r="247" customFormat="false" ht="15" hidden="false" customHeight="false" outlineLevel="0" collapsed="false">
      <c r="A247" s="11" t="s">
        <v>308</v>
      </c>
      <c r="B247" s="20" t="n">
        <v>45733</v>
      </c>
      <c r="C247" s="11" t="s">
        <v>24</v>
      </c>
      <c r="D247" s="11" t="s">
        <v>37</v>
      </c>
      <c r="E247" s="11" t="s">
        <v>53</v>
      </c>
      <c r="F247" s="11" t="s">
        <v>44</v>
      </c>
      <c r="G247" s="11" t="n">
        <v>35</v>
      </c>
      <c r="H247" s="21" t="n">
        <v>9</v>
      </c>
      <c r="I247" s="21" t="n">
        <v>4.5</v>
      </c>
      <c r="J247" s="22" t="n">
        <v>0.05</v>
      </c>
      <c r="K247" s="21" t="n">
        <f aca="false">G247*H247*(1-J247)</f>
        <v>299.25</v>
      </c>
      <c r="L247" s="21" t="n">
        <f aca="false">G247*I247</f>
        <v>157.5</v>
      </c>
      <c r="M247" s="21" t="n">
        <f aca="false">K247-L247</f>
        <v>141.75</v>
      </c>
      <c r="N247" s="11" t="str">
        <f aca="false">TEXT(B247,"mmm")</f>
        <v>Mar</v>
      </c>
    </row>
    <row r="248" customFormat="false" ht="15" hidden="false" customHeight="false" outlineLevel="0" collapsed="false">
      <c r="A248" s="11" t="s">
        <v>309</v>
      </c>
      <c r="B248" s="20" t="n">
        <v>45733</v>
      </c>
      <c r="C248" s="11" t="s">
        <v>22</v>
      </c>
      <c r="D248" s="11" t="s">
        <v>37</v>
      </c>
      <c r="E248" s="11" t="s">
        <v>49</v>
      </c>
      <c r="F248" s="11" t="s">
        <v>44</v>
      </c>
      <c r="G248" s="11" t="n">
        <v>14</v>
      </c>
      <c r="H248" s="21" t="n">
        <v>28</v>
      </c>
      <c r="I248" s="21" t="n">
        <v>17</v>
      </c>
      <c r="J248" s="22" t="n">
        <v>0.05</v>
      </c>
      <c r="K248" s="21" t="n">
        <f aca="false">G248*H248*(1-J248)</f>
        <v>372.4</v>
      </c>
      <c r="L248" s="21" t="n">
        <f aca="false">G248*I248</f>
        <v>238</v>
      </c>
      <c r="M248" s="21" t="n">
        <f aca="false">K248-L248</f>
        <v>134.4</v>
      </c>
      <c r="N248" s="11" t="str">
        <f aca="false">TEXT(B248,"mmm")</f>
        <v>Mar</v>
      </c>
    </row>
    <row r="249" customFormat="false" ht="15" hidden="false" customHeight="false" outlineLevel="0" collapsed="false">
      <c r="A249" s="11" t="s">
        <v>310</v>
      </c>
      <c r="B249" s="20" t="n">
        <v>45733</v>
      </c>
      <c r="C249" s="11" t="s">
        <v>18</v>
      </c>
      <c r="D249" s="11" t="s">
        <v>33</v>
      </c>
      <c r="E249" s="11" t="s">
        <v>48</v>
      </c>
      <c r="F249" s="11" t="s">
        <v>42</v>
      </c>
      <c r="G249" s="11" t="n">
        <v>3</v>
      </c>
      <c r="H249" s="21" t="n">
        <v>520</v>
      </c>
      <c r="I249" s="21" t="n">
        <v>415</v>
      </c>
      <c r="J249" s="22" t="n">
        <v>0.15</v>
      </c>
      <c r="K249" s="21" t="n">
        <f aca="false">G249*H249*(1-J249)</f>
        <v>1326</v>
      </c>
      <c r="L249" s="21" t="n">
        <f aca="false">G249*I249</f>
        <v>1245</v>
      </c>
      <c r="M249" s="21" t="n">
        <f aca="false">K249-L249</f>
        <v>81</v>
      </c>
      <c r="N249" s="11" t="str">
        <f aca="false">TEXT(B249,"mmm")</f>
        <v>Mar</v>
      </c>
    </row>
    <row r="250" customFormat="false" ht="15" hidden="false" customHeight="false" outlineLevel="0" collapsed="false">
      <c r="A250" s="11" t="s">
        <v>311</v>
      </c>
      <c r="B250" s="20" t="n">
        <v>45733</v>
      </c>
      <c r="C250" s="11" t="s">
        <v>20</v>
      </c>
      <c r="D250" s="11" t="s">
        <v>37</v>
      </c>
      <c r="E250" s="11" t="s">
        <v>49</v>
      </c>
      <c r="F250" s="11" t="s">
        <v>44</v>
      </c>
      <c r="G250" s="11" t="n">
        <v>22</v>
      </c>
      <c r="H250" s="21" t="n">
        <v>28</v>
      </c>
      <c r="I250" s="21" t="n">
        <v>17</v>
      </c>
      <c r="J250" s="22" t="n">
        <v>0</v>
      </c>
      <c r="K250" s="21" t="n">
        <f aca="false">G250*H250*(1-J250)</f>
        <v>616</v>
      </c>
      <c r="L250" s="21" t="n">
        <f aca="false">G250*I250</f>
        <v>374</v>
      </c>
      <c r="M250" s="21" t="n">
        <f aca="false">K250-L250</f>
        <v>242</v>
      </c>
      <c r="N250" s="11" t="str">
        <f aca="false">TEXT(B250,"mmm")</f>
        <v>Mar</v>
      </c>
    </row>
    <row r="251" customFormat="false" ht="15" hidden="false" customHeight="false" outlineLevel="0" collapsed="false">
      <c r="A251" s="11" t="s">
        <v>312</v>
      </c>
      <c r="B251" s="20" t="n">
        <v>45734</v>
      </c>
      <c r="C251" s="11" t="s">
        <v>20</v>
      </c>
      <c r="D251" s="11" t="s">
        <v>37</v>
      </c>
      <c r="E251" s="11" t="s">
        <v>53</v>
      </c>
      <c r="F251" s="11" t="s">
        <v>42</v>
      </c>
      <c r="G251" s="11" t="n">
        <v>22</v>
      </c>
      <c r="H251" s="21" t="n">
        <v>9</v>
      </c>
      <c r="I251" s="21" t="n">
        <v>4.5</v>
      </c>
      <c r="J251" s="22" t="n">
        <v>0</v>
      </c>
      <c r="K251" s="21" t="n">
        <f aca="false">G251*H251*(1-J251)</f>
        <v>198</v>
      </c>
      <c r="L251" s="21" t="n">
        <f aca="false">G251*I251</f>
        <v>99</v>
      </c>
      <c r="M251" s="21" t="n">
        <f aca="false">K251-L251</f>
        <v>99</v>
      </c>
      <c r="N251" s="11" t="str">
        <f aca="false">TEXT(B251,"mmm")</f>
        <v>Mar</v>
      </c>
    </row>
    <row r="252" customFormat="false" ht="15" hidden="false" customHeight="false" outlineLevel="0" collapsed="false">
      <c r="A252" s="11" t="s">
        <v>313</v>
      </c>
      <c r="B252" s="20" t="n">
        <v>45735</v>
      </c>
      <c r="C252" s="11" t="s">
        <v>22</v>
      </c>
      <c r="D252" s="11" t="s">
        <v>37</v>
      </c>
      <c r="E252" s="11" t="s">
        <v>53</v>
      </c>
      <c r="F252" s="11" t="s">
        <v>44</v>
      </c>
      <c r="G252" s="11" t="n">
        <v>7</v>
      </c>
      <c r="H252" s="21" t="n">
        <v>9</v>
      </c>
      <c r="I252" s="21" t="n">
        <v>4.5</v>
      </c>
      <c r="J252" s="22" t="n">
        <v>0.05</v>
      </c>
      <c r="K252" s="21" t="n">
        <f aca="false">G252*H252*(1-J252)</f>
        <v>59.85</v>
      </c>
      <c r="L252" s="21" t="n">
        <f aca="false">G252*I252</f>
        <v>31.5</v>
      </c>
      <c r="M252" s="21" t="n">
        <f aca="false">K252-L252</f>
        <v>28.35</v>
      </c>
      <c r="N252" s="11" t="str">
        <f aca="false">TEXT(B252,"mmm")</f>
        <v>Mar</v>
      </c>
    </row>
    <row r="253" customFormat="false" ht="15" hidden="false" customHeight="false" outlineLevel="0" collapsed="false">
      <c r="A253" s="11" t="s">
        <v>314</v>
      </c>
      <c r="B253" s="20" t="n">
        <v>45735</v>
      </c>
      <c r="C253" s="11" t="s">
        <v>20</v>
      </c>
      <c r="D253" s="11" t="s">
        <v>33</v>
      </c>
      <c r="E253" s="11" t="s">
        <v>51</v>
      </c>
      <c r="F253" s="11" t="s">
        <v>45</v>
      </c>
      <c r="G253" s="11" t="n">
        <v>9</v>
      </c>
      <c r="H253" s="21" t="n">
        <v>90</v>
      </c>
      <c r="I253" s="21" t="n">
        <v>58</v>
      </c>
      <c r="J253" s="22" t="n">
        <v>0.1</v>
      </c>
      <c r="K253" s="21" t="n">
        <f aca="false">G253*H253*(1-J253)</f>
        <v>729</v>
      </c>
      <c r="L253" s="21" t="n">
        <f aca="false">G253*I253</f>
        <v>522</v>
      </c>
      <c r="M253" s="21" t="n">
        <f aca="false">K253-L253</f>
        <v>207</v>
      </c>
      <c r="N253" s="11" t="str">
        <f aca="false">TEXT(B253,"mmm")</f>
        <v>Mar</v>
      </c>
    </row>
    <row r="254" customFormat="false" ht="15" hidden="false" customHeight="false" outlineLevel="0" collapsed="false">
      <c r="A254" s="11" t="s">
        <v>315</v>
      </c>
      <c r="B254" s="20" t="n">
        <v>45736</v>
      </c>
      <c r="C254" s="11" t="s">
        <v>18</v>
      </c>
      <c r="D254" s="11" t="s">
        <v>33</v>
      </c>
      <c r="E254" s="11" t="s">
        <v>48</v>
      </c>
      <c r="F254" s="11" t="s">
        <v>44</v>
      </c>
      <c r="G254" s="11" t="n">
        <v>4</v>
      </c>
      <c r="H254" s="21" t="n">
        <v>520</v>
      </c>
      <c r="I254" s="21" t="n">
        <v>415</v>
      </c>
      <c r="J254" s="22" t="n">
        <v>0</v>
      </c>
      <c r="K254" s="21" t="n">
        <f aca="false">G254*H254*(1-J254)</f>
        <v>2080</v>
      </c>
      <c r="L254" s="21" t="n">
        <f aca="false">G254*I254</f>
        <v>1660</v>
      </c>
      <c r="M254" s="21" t="n">
        <f aca="false">K254-L254</f>
        <v>420</v>
      </c>
      <c r="N254" s="11" t="str">
        <f aca="false">TEXT(B254,"mmm")</f>
        <v>Mar</v>
      </c>
    </row>
    <row r="255" customFormat="false" ht="15" hidden="false" customHeight="false" outlineLevel="0" collapsed="false">
      <c r="A255" s="11" t="s">
        <v>316</v>
      </c>
      <c r="B255" s="20" t="n">
        <v>45736</v>
      </c>
      <c r="C255" s="11" t="s">
        <v>24</v>
      </c>
      <c r="D255" s="11" t="s">
        <v>37</v>
      </c>
      <c r="E255" s="11" t="s">
        <v>52</v>
      </c>
      <c r="F255" s="11" t="s">
        <v>45</v>
      </c>
      <c r="G255" s="11" t="n">
        <v>99</v>
      </c>
      <c r="H255" s="21" t="n">
        <v>12</v>
      </c>
      <c r="I255" s="21" t="n">
        <v>6</v>
      </c>
      <c r="J255" s="22" t="n">
        <v>0.15</v>
      </c>
      <c r="K255" s="21" t="n">
        <f aca="false">G255*H255*(1-J255)</f>
        <v>1009.8</v>
      </c>
      <c r="L255" s="21" t="n">
        <f aca="false">G255*I255</f>
        <v>594</v>
      </c>
      <c r="M255" s="21" t="n">
        <f aca="false">K255-L255</f>
        <v>415.8</v>
      </c>
      <c r="N255" s="11" t="str">
        <f aca="false">TEXT(B255,"mmm")</f>
        <v>Mar</v>
      </c>
    </row>
    <row r="256" customFormat="false" ht="15" hidden="false" customHeight="false" outlineLevel="0" collapsed="false">
      <c r="A256" s="11" t="s">
        <v>317</v>
      </c>
      <c r="B256" s="20" t="n">
        <v>45736</v>
      </c>
      <c r="C256" s="11" t="s">
        <v>22</v>
      </c>
      <c r="D256" s="11" t="s">
        <v>33</v>
      </c>
      <c r="E256" s="11" t="s">
        <v>51</v>
      </c>
      <c r="F256" s="11" t="s">
        <v>42</v>
      </c>
      <c r="G256" s="11" t="n">
        <v>4</v>
      </c>
      <c r="H256" s="21" t="n">
        <v>90</v>
      </c>
      <c r="I256" s="21" t="n">
        <v>58</v>
      </c>
      <c r="J256" s="22" t="n">
        <v>0.15</v>
      </c>
      <c r="K256" s="21" t="n">
        <f aca="false">G256*H256*(1-J256)</f>
        <v>306</v>
      </c>
      <c r="L256" s="21" t="n">
        <f aca="false">G256*I256</f>
        <v>232</v>
      </c>
      <c r="M256" s="21" t="n">
        <f aca="false">K256-L256</f>
        <v>74</v>
      </c>
      <c r="N256" s="11" t="str">
        <f aca="false">TEXT(B256,"mmm")</f>
        <v>Mar</v>
      </c>
    </row>
    <row r="257" customFormat="false" ht="15" hidden="false" customHeight="false" outlineLevel="0" collapsed="false">
      <c r="A257" s="11" t="s">
        <v>318</v>
      </c>
      <c r="B257" s="20" t="n">
        <v>45736</v>
      </c>
      <c r="C257" s="11" t="s">
        <v>22</v>
      </c>
      <c r="D257" s="11" t="s">
        <v>37</v>
      </c>
      <c r="E257" s="11" t="s">
        <v>49</v>
      </c>
      <c r="F257" s="11" t="s">
        <v>42</v>
      </c>
      <c r="G257" s="11" t="n">
        <v>7</v>
      </c>
      <c r="H257" s="21" t="n">
        <v>28</v>
      </c>
      <c r="I257" s="21" t="n">
        <v>17</v>
      </c>
      <c r="J257" s="22" t="n">
        <v>0.1</v>
      </c>
      <c r="K257" s="21" t="n">
        <f aca="false">G257*H257*(1-J257)</f>
        <v>176.4</v>
      </c>
      <c r="L257" s="21" t="n">
        <f aca="false">G257*I257</f>
        <v>119</v>
      </c>
      <c r="M257" s="21" t="n">
        <f aca="false">K257-L257</f>
        <v>57.4</v>
      </c>
      <c r="N257" s="11" t="str">
        <f aca="false">TEXT(B257,"mmm")</f>
        <v>Mar</v>
      </c>
    </row>
    <row r="258" customFormat="false" ht="15" hidden="false" customHeight="false" outlineLevel="0" collapsed="false">
      <c r="A258" s="11" t="s">
        <v>319</v>
      </c>
      <c r="B258" s="20" t="n">
        <v>45736</v>
      </c>
      <c r="C258" s="11" t="s">
        <v>22</v>
      </c>
      <c r="D258" s="11" t="s">
        <v>33</v>
      </c>
      <c r="E258" s="11" t="s">
        <v>48</v>
      </c>
      <c r="F258" s="11" t="s">
        <v>45</v>
      </c>
      <c r="G258" s="11" t="n">
        <v>4</v>
      </c>
      <c r="H258" s="21" t="n">
        <v>520</v>
      </c>
      <c r="I258" s="21" t="n">
        <v>415</v>
      </c>
      <c r="J258" s="22" t="n">
        <v>0.1</v>
      </c>
      <c r="K258" s="21" t="n">
        <f aca="false">G258*H258*(1-J258)</f>
        <v>1872</v>
      </c>
      <c r="L258" s="21" t="n">
        <f aca="false">G258*I258</f>
        <v>1660</v>
      </c>
      <c r="M258" s="21" t="n">
        <f aca="false">K258-L258</f>
        <v>212</v>
      </c>
      <c r="N258" s="11" t="str">
        <f aca="false">TEXT(B258,"mmm")</f>
        <v>Mar</v>
      </c>
    </row>
    <row r="259" customFormat="false" ht="15" hidden="false" customHeight="false" outlineLevel="0" collapsed="false">
      <c r="A259" s="11" t="s">
        <v>320</v>
      </c>
      <c r="B259" s="20" t="n">
        <v>45737</v>
      </c>
      <c r="C259" s="11" t="s">
        <v>18</v>
      </c>
      <c r="D259" s="11" t="s">
        <v>37</v>
      </c>
      <c r="E259" s="11" t="s">
        <v>52</v>
      </c>
      <c r="F259" s="11" t="s">
        <v>42</v>
      </c>
      <c r="G259" s="11" t="n">
        <v>5</v>
      </c>
      <c r="H259" s="21" t="n">
        <v>12</v>
      </c>
      <c r="I259" s="21" t="n">
        <v>6</v>
      </c>
      <c r="J259" s="22" t="n">
        <v>0</v>
      </c>
      <c r="K259" s="21" t="n">
        <f aca="false">G259*H259*(1-J259)</f>
        <v>60</v>
      </c>
      <c r="L259" s="21" t="n">
        <f aca="false">G259*I259</f>
        <v>30</v>
      </c>
      <c r="M259" s="21" t="n">
        <f aca="false">K259-L259</f>
        <v>30</v>
      </c>
      <c r="N259" s="11" t="str">
        <f aca="false">TEXT(B259,"mmm")</f>
        <v>Mar</v>
      </c>
    </row>
    <row r="260" customFormat="false" ht="15" hidden="false" customHeight="false" outlineLevel="0" collapsed="false">
      <c r="A260" s="11" t="s">
        <v>321</v>
      </c>
      <c r="B260" s="20" t="n">
        <v>45737</v>
      </c>
      <c r="C260" s="11" t="s">
        <v>20</v>
      </c>
      <c r="D260" s="11" t="s">
        <v>37</v>
      </c>
      <c r="E260" s="11" t="s">
        <v>53</v>
      </c>
      <c r="F260" s="11" t="s">
        <v>42</v>
      </c>
      <c r="G260" s="11" t="n">
        <v>22</v>
      </c>
      <c r="H260" s="21" t="n">
        <v>9</v>
      </c>
      <c r="I260" s="21" t="n">
        <v>4.5</v>
      </c>
      <c r="J260" s="22" t="n">
        <v>0</v>
      </c>
      <c r="K260" s="21" t="n">
        <f aca="false">G260*H260*(1-J260)</f>
        <v>198</v>
      </c>
      <c r="L260" s="21" t="n">
        <f aca="false">G260*I260</f>
        <v>99</v>
      </c>
      <c r="M260" s="21" t="n">
        <f aca="false">K260-L260</f>
        <v>99</v>
      </c>
      <c r="N260" s="11" t="str">
        <f aca="false">TEXT(B260,"mmm")</f>
        <v>Mar</v>
      </c>
    </row>
    <row r="261" customFormat="false" ht="15" hidden="false" customHeight="false" outlineLevel="0" collapsed="false">
      <c r="A261" s="11" t="s">
        <v>322</v>
      </c>
      <c r="B261" s="20" t="n">
        <v>45737</v>
      </c>
      <c r="C261" s="11" t="s">
        <v>18</v>
      </c>
      <c r="D261" s="11" t="s">
        <v>35</v>
      </c>
      <c r="E261" s="11" t="s">
        <v>54</v>
      </c>
      <c r="F261" s="11" t="s">
        <v>42</v>
      </c>
      <c r="G261" s="11" t="n">
        <v>3</v>
      </c>
      <c r="H261" s="21" t="n">
        <v>320</v>
      </c>
      <c r="I261" s="21" t="n">
        <v>185</v>
      </c>
      <c r="J261" s="22" t="n">
        <v>0</v>
      </c>
      <c r="K261" s="21" t="n">
        <f aca="false">G261*H261*(1-J261)</f>
        <v>960</v>
      </c>
      <c r="L261" s="21" t="n">
        <f aca="false">G261*I261</f>
        <v>555</v>
      </c>
      <c r="M261" s="21" t="n">
        <f aca="false">K261-L261</f>
        <v>405</v>
      </c>
      <c r="N261" s="11" t="str">
        <f aca="false">TEXT(B261,"mmm")</f>
        <v>Mar</v>
      </c>
    </row>
    <row r="262" customFormat="false" ht="15" hidden="false" customHeight="false" outlineLevel="0" collapsed="false">
      <c r="A262" s="11" t="s">
        <v>323</v>
      </c>
      <c r="B262" s="20" t="n">
        <v>45737</v>
      </c>
      <c r="C262" s="11" t="s">
        <v>20</v>
      </c>
      <c r="D262" s="11" t="s">
        <v>33</v>
      </c>
      <c r="E262" s="11" t="s">
        <v>50</v>
      </c>
      <c r="F262" s="11" t="s">
        <v>44</v>
      </c>
      <c r="G262" s="11" t="n">
        <v>3</v>
      </c>
      <c r="H262" s="21" t="n">
        <v>780</v>
      </c>
      <c r="I262" s="21" t="n">
        <v>600</v>
      </c>
      <c r="J262" s="22" t="n">
        <v>0.05</v>
      </c>
      <c r="K262" s="21" t="n">
        <f aca="false">G262*H262*(1-J262)</f>
        <v>2223</v>
      </c>
      <c r="L262" s="21" t="n">
        <f aca="false">G262*I262</f>
        <v>1800</v>
      </c>
      <c r="M262" s="21" t="n">
        <f aca="false">K262-L262</f>
        <v>423</v>
      </c>
      <c r="N262" s="11" t="str">
        <f aca="false">TEXT(B262,"mmm")</f>
        <v>Mar</v>
      </c>
    </row>
    <row r="263" customFormat="false" ht="15" hidden="false" customHeight="false" outlineLevel="0" collapsed="false">
      <c r="A263" s="11" t="s">
        <v>324</v>
      </c>
      <c r="B263" s="20" t="n">
        <v>45737</v>
      </c>
      <c r="C263" s="11" t="s">
        <v>20</v>
      </c>
      <c r="D263" s="11" t="s">
        <v>37</v>
      </c>
      <c r="E263" s="11" t="s">
        <v>53</v>
      </c>
      <c r="F263" s="11" t="s">
        <v>42</v>
      </c>
      <c r="G263" s="11" t="n">
        <v>28</v>
      </c>
      <c r="H263" s="21" t="n">
        <v>9</v>
      </c>
      <c r="I263" s="21" t="n">
        <v>4.5</v>
      </c>
      <c r="J263" s="22" t="n">
        <v>0</v>
      </c>
      <c r="K263" s="21" t="n">
        <f aca="false">G263*H263*(1-J263)</f>
        <v>252</v>
      </c>
      <c r="L263" s="21" t="n">
        <f aca="false">G263*I263</f>
        <v>126</v>
      </c>
      <c r="M263" s="21" t="n">
        <f aca="false">K263-L263</f>
        <v>126</v>
      </c>
      <c r="N263" s="11" t="str">
        <f aca="false">TEXT(B263,"mmm")</f>
        <v>Mar</v>
      </c>
    </row>
    <row r="264" customFormat="false" ht="15" hidden="false" customHeight="false" outlineLevel="0" collapsed="false">
      <c r="A264" s="11" t="s">
        <v>325</v>
      </c>
      <c r="B264" s="20" t="n">
        <v>45738</v>
      </c>
      <c r="C264" s="11" t="s">
        <v>24</v>
      </c>
      <c r="D264" s="11" t="s">
        <v>35</v>
      </c>
      <c r="E264" s="11" t="s">
        <v>56</v>
      </c>
      <c r="F264" s="11" t="s">
        <v>45</v>
      </c>
      <c r="G264" s="11" t="n">
        <v>3</v>
      </c>
      <c r="H264" s="21" t="n">
        <v>110</v>
      </c>
      <c r="I264" s="21" t="n">
        <v>62</v>
      </c>
      <c r="J264" s="22" t="n">
        <v>0.2</v>
      </c>
      <c r="K264" s="21" t="n">
        <f aca="false">G264*H264*(1-J264)</f>
        <v>264</v>
      </c>
      <c r="L264" s="21" t="n">
        <f aca="false">G264*I264</f>
        <v>186</v>
      </c>
      <c r="M264" s="21" t="n">
        <f aca="false">K264-L264</f>
        <v>78</v>
      </c>
      <c r="N264" s="11" t="str">
        <f aca="false">TEXT(B264,"mmm")</f>
        <v>Mar</v>
      </c>
    </row>
    <row r="265" customFormat="false" ht="15" hidden="false" customHeight="false" outlineLevel="0" collapsed="false">
      <c r="A265" s="11" t="s">
        <v>326</v>
      </c>
      <c r="B265" s="20" t="n">
        <v>45738</v>
      </c>
      <c r="C265" s="11" t="s">
        <v>24</v>
      </c>
      <c r="D265" s="11" t="s">
        <v>33</v>
      </c>
      <c r="E265" s="11" t="s">
        <v>51</v>
      </c>
      <c r="F265" s="11" t="s">
        <v>44</v>
      </c>
      <c r="G265" s="11" t="n">
        <v>2</v>
      </c>
      <c r="H265" s="21" t="n">
        <v>90</v>
      </c>
      <c r="I265" s="21" t="n">
        <v>58</v>
      </c>
      <c r="J265" s="22" t="n">
        <v>0.05</v>
      </c>
      <c r="K265" s="21" t="n">
        <f aca="false">G265*H265*(1-J265)</f>
        <v>171</v>
      </c>
      <c r="L265" s="21" t="n">
        <f aca="false">G265*I265</f>
        <v>116</v>
      </c>
      <c r="M265" s="21" t="n">
        <f aca="false">K265-L265</f>
        <v>55</v>
      </c>
      <c r="N265" s="11" t="str">
        <f aca="false">TEXT(B265,"mmm")</f>
        <v>Mar</v>
      </c>
    </row>
    <row r="266" customFormat="false" ht="15" hidden="false" customHeight="false" outlineLevel="0" collapsed="false">
      <c r="A266" s="11" t="s">
        <v>327</v>
      </c>
      <c r="B266" s="20" t="n">
        <v>45738</v>
      </c>
      <c r="C266" s="11" t="s">
        <v>24</v>
      </c>
      <c r="D266" s="11" t="s">
        <v>37</v>
      </c>
      <c r="E266" s="11" t="s">
        <v>53</v>
      </c>
      <c r="F266" s="11" t="s">
        <v>45</v>
      </c>
      <c r="G266" s="11" t="n">
        <v>72</v>
      </c>
      <c r="H266" s="21" t="n">
        <v>9</v>
      </c>
      <c r="I266" s="21" t="n">
        <v>4.5</v>
      </c>
      <c r="J266" s="22" t="n">
        <v>0.2</v>
      </c>
      <c r="K266" s="21" t="n">
        <f aca="false">G266*H266*(1-J266)</f>
        <v>518.4</v>
      </c>
      <c r="L266" s="21" t="n">
        <f aca="false">G266*I266</f>
        <v>324</v>
      </c>
      <c r="M266" s="21" t="n">
        <f aca="false">K266-L266</f>
        <v>194.4</v>
      </c>
      <c r="N266" s="11" t="str">
        <f aca="false">TEXT(B266,"mmm")</f>
        <v>Mar</v>
      </c>
    </row>
    <row r="267" customFormat="false" ht="15" hidden="false" customHeight="false" outlineLevel="0" collapsed="false">
      <c r="A267" s="11" t="s">
        <v>328</v>
      </c>
      <c r="B267" s="20" t="n">
        <v>45738</v>
      </c>
      <c r="C267" s="11" t="s">
        <v>20</v>
      </c>
      <c r="D267" s="11" t="s">
        <v>37</v>
      </c>
      <c r="E267" s="11" t="s">
        <v>49</v>
      </c>
      <c r="F267" s="11" t="s">
        <v>44</v>
      </c>
      <c r="G267" s="11" t="n">
        <v>21</v>
      </c>
      <c r="H267" s="21" t="n">
        <v>28</v>
      </c>
      <c r="I267" s="21" t="n">
        <v>17</v>
      </c>
      <c r="J267" s="22" t="n">
        <v>0</v>
      </c>
      <c r="K267" s="21" t="n">
        <f aca="false">G267*H267*(1-J267)</f>
        <v>588</v>
      </c>
      <c r="L267" s="21" t="n">
        <f aca="false">G267*I267</f>
        <v>357</v>
      </c>
      <c r="M267" s="21" t="n">
        <f aca="false">K267-L267</f>
        <v>231</v>
      </c>
      <c r="N267" s="11" t="str">
        <f aca="false">TEXT(B267,"mmm")</f>
        <v>Mar</v>
      </c>
    </row>
    <row r="268" customFormat="false" ht="15" hidden="false" customHeight="false" outlineLevel="0" collapsed="false">
      <c r="A268" s="11" t="s">
        <v>329</v>
      </c>
      <c r="B268" s="20" t="n">
        <v>45738</v>
      </c>
      <c r="C268" s="11" t="s">
        <v>24</v>
      </c>
      <c r="D268" s="11" t="s">
        <v>37</v>
      </c>
      <c r="E268" s="11" t="s">
        <v>52</v>
      </c>
      <c r="F268" s="11" t="s">
        <v>42</v>
      </c>
      <c r="G268" s="11" t="n">
        <v>32</v>
      </c>
      <c r="H268" s="21" t="n">
        <v>12</v>
      </c>
      <c r="I268" s="21" t="n">
        <v>6</v>
      </c>
      <c r="J268" s="22" t="n">
        <v>0.05</v>
      </c>
      <c r="K268" s="21" t="n">
        <f aca="false">G268*H268*(1-J268)</f>
        <v>364.8</v>
      </c>
      <c r="L268" s="21" t="n">
        <f aca="false">G268*I268</f>
        <v>192</v>
      </c>
      <c r="M268" s="21" t="n">
        <f aca="false">K268-L268</f>
        <v>172.8</v>
      </c>
      <c r="N268" s="11" t="str">
        <f aca="false">TEXT(B268,"mmm")</f>
        <v>Mar</v>
      </c>
    </row>
    <row r="269" customFormat="false" ht="15" hidden="false" customHeight="false" outlineLevel="0" collapsed="false">
      <c r="A269" s="11" t="s">
        <v>330</v>
      </c>
      <c r="B269" s="20" t="n">
        <v>45738</v>
      </c>
      <c r="C269" s="11" t="s">
        <v>22</v>
      </c>
      <c r="D269" s="11" t="s">
        <v>35</v>
      </c>
      <c r="E269" s="11" t="s">
        <v>54</v>
      </c>
      <c r="F269" s="11" t="s">
        <v>45</v>
      </c>
      <c r="G269" s="11" t="n">
        <v>1</v>
      </c>
      <c r="H269" s="21" t="n">
        <v>320</v>
      </c>
      <c r="I269" s="21" t="n">
        <v>185</v>
      </c>
      <c r="J269" s="22" t="n">
        <v>0.15</v>
      </c>
      <c r="K269" s="21" t="n">
        <f aca="false">G269*H269*(1-J269)</f>
        <v>272</v>
      </c>
      <c r="L269" s="21" t="n">
        <f aca="false">G269*I269</f>
        <v>185</v>
      </c>
      <c r="M269" s="21" t="n">
        <f aca="false">K269-L269</f>
        <v>87</v>
      </c>
      <c r="N269" s="11" t="str">
        <f aca="false">TEXT(B269,"mmm")</f>
        <v>Mar</v>
      </c>
    </row>
    <row r="270" customFormat="false" ht="15" hidden="false" customHeight="false" outlineLevel="0" collapsed="false">
      <c r="A270" s="11" t="s">
        <v>331</v>
      </c>
      <c r="B270" s="20" t="n">
        <v>45738</v>
      </c>
      <c r="C270" s="11" t="s">
        <v>18</v>
      </c>
      <c r="D270" s="11" t="s">
        <v>33</v>
      </c>
      <c r="E270" s="11" t="s">
        <v>48</v>
      </c>
      <c r="F270" s="11" t="s">
        <v>45</v>
      </c>
      <c r="G270" s="11" t="n">
        <v>2</v>
      </c>
      <c r="H270" s="21" t="n">
        <v>520</v>
      </c>
      <c r="I270" s="21" t="n">
        <v>415</v>
      </c>
      <c r="J270" s="22" t="n">
        <v>0.2</v>
      </c>
      <c r="K270" s="21" t="n">
        <f aca="false">G270*H270*(1-J270)</f>
        <v>832</v>
      </c>
      <c r="L270" s="21" t="n">
        <f aca="false">G270*I270</f>
        <v>830</v>
      </c>
      <c r="M270" s="21" t="n">
        <f aca="false">K270-L270</f>
        <v>2</v>
      </c>
      <c r="N270" s="11" t="str">
        <f aca="false">TEXT(B270,"mmm")</f>
        <v>Mar</v>
      </c>
    </row>
    <row r="271" customFormat="false" ht="15" hidden="false" customHeight="false" outlineLevel="0" collapsed="false">
      <c r="A271" s="11" t="s">
        <v>332</v>
      </c>
      <c r="B271" s="20" t="n">
        <v>45738</v>
      </c>
      <c r="C271" s="11" t="s">
        <v>18</v>
      </c>
      <c r="D271" s="11" t="s">
        <v>37</v>
      </c>
      <c r="E271" s="11" t="s">
        <v>53</v>
      </c>
      <c r="F271" s="11" t="s">
        <v>42</v>
      </c>
      <c r="G271" s="11" t="n">
        <v>34</v>
      </c>
      <c r="H271" s="21" t="n">
        <v>9</v>
      </c>
      <c r="I271" s="21" t="n">
        <v>4.5</v>
      </c>
      <c r="J271" s="22" t="n">
        <v>0.15</v>
      </c>
      <c r="K271" s="21" t="n">
        <f aca="false">G271*H271*(1-J271)</f>
        <v>260.1</v>
      </c>
      <c r="L271" s="21" t="n">
        <f aca="false">G271*I271</f>
        <v>153</v>
      </c>
      <c r="M271" s="21" t="n">
        <f aca="false">K271-L271</f>
        <v>107.1</v>
      </c>
      <c r="N271" s="11" t="str">
        <f aca="false">TEXT(B271,"mmm")</f>
        <v>Mar</v>
      </c>
    </row>
    <row r="272" customFormat="false" ht="15" hidden="false" customHeight="false" outlineLevel="0" collapsed="false">
      <c r="A272" s="11" t="s">
        <v>333</v>
      </c>
      <c r="B272" s="20" t="n">
        <v>45739</v>
      </c>
      <c r="C272" s="11" t="s">
        <v>20</v>
      </c>
      <c r="D272" s="11" t="s">
        <v>35</v>
      </c>
      <c r="E272" s="11" t="s">
        <v>56</v>
      </c>
      <c r="F272" s="11" t="s">
        <v>44</v>
      </c>
      <c r="G272" s="11" t="n">
        <v>4</v>
      </c>
      <c r="H272" s="21" t="n">
        <v>110</v>
      </c>
      <c r="I272" s="21" t="n">
        <v>62</v>
      </c>
      <c r="J272" s="22" t="n">
        <v>0.05</v>
      </c>
      <c r="K272" s="21" t="n">
        <f aca="false">G272*H272*(1-J272)</f>
        <v>418</v>
      </c>
      <c r="L272" s="21" t="n">
        <f aca="false">G272*I272</f>
        <v>248</v>
      </c>
      <c r="M272" s="21" t="n">
        <f aca="false">K272-L272</f>
        <v>170</v>
      </c>
      <c r="N272" s="11" t="str">
        <f aca="false">TEXT(B272,"mmm")</f>
        <v>Mar</v>
      </c>
    </row>
    <row r="273" customFormat="false" ht="15" hidden="false" customHeight="false" outlineLevel="0" collapsed="false">
      <c r="A273" s="11" t="s">
        <v>334</v>
      </c>
      <c r="B273" s="20" t="n">
        <v>45740</v>
      </c>
      <c r="C273" s="11" t="s">
        <v>18</v>
      </c>
      <c r="D273" s="11" t="s">
        <v>33</v>
      </c>
      <c r="E273" s="11" t="s">
        <v>51</v>
      </c>
      <c r="F273" s="11" t="s">
        <v>44</v>
      </c>
      <c r="G273" s="11" t="n">
        <v>6</v>
      </c>
      <c r="H273" s="21" t="n">
        <v>90</v>
      </c>
      <c r="I273" s="21" t="n">
        <v>58</v>
      </c>
      <c r="J273" s="22" t="n">
        <v>0.05</v>
      </c>
      <c r="K273" s="21" t="n">
        <f aca="false">G273*H273*(1-J273)</f>
        <v>513</v>
      </c>
      <c r="L273" s="21" t="n">
        <f aca="false">G273*I273</f>
        <v>348</v>
      </c>
      <c r="M273" s="21" t="n">
        <f aca="false">K273-L273</f>
        <v>165</v>
      </c>
      <c r="N273" s="11" t="str">
        <f aca="false">TEXT(B273,"mmm")</f>
        <v>Mar</v>
      </c>
    </row>
    <row r="274" customFormat="false" ht="15" hidden="false" customHeight="false" outlineLevel="0" collapsed="false">
      <c r="A274" s="11" t="s">
        <v>335</v>
      </c>
      <c r="B274" s="20" t="n">
        <v>45740</v>
      </c>
      <c r="C274" s="11" t="s">
        <v>24</v>
      </c>
      <c r="D274" s="11" t="s">
        <v>37</v>
      </c>
      <c r="E274" s="11" t="s">
        <v>53</v>
      </c>
      <c r="F274" s="11" t="s">
        <v>45</v>
      </c>
      <c r="G274" s="11" t="n">
        <v>3</v>
      </c>
      <c r="H274" s="21" t="n">
        <v>9</v>
      </c>
      <c r="I274" s="21" t="n">
        <v>4.5</v>
      </c>
      <c r="J274" s="22" t="n">
        <v>0.1</v>
      </c>
      <c r="K274" s="21" t="n">
        <f aca="false">G274*H274*(1-J274)</f>
        <v>24.3</v>
      </c>
      <c r="L274" s="21" t="n">
        <f aca="false">G274*I274</f>
        <v>13.5</v>
      </c>
      <c r="M274" s="21" t="n">
        <f aca="false">K274-L274</f>
        <v>10.8</v>
      </c>
      <c r="N274" s="11" t="str">
        <f aca="false">TEXT(B274,"mmm")</f>
        <v>Mar</v>
      </c>
    </row>
    <row r="275" customFormat="false" ht="15" hidden="false" customHeight="false" outlineLevel="0" collapsed="false">
      <c r="A275" s="11" t="s">
        <v>336</v>
      </c>
      <c r="B275" s="20" t="n">
        <v>45740</v>
      </c>
      <c r="C275" s="11" t="s">
        <v>18</v>
      </c>
      <c r="D275" s="11" t="s">
        <v>35</v>
      </c>
      <c r="E275" s="11" t="s">
        <v>56</v>
      </c>
      <c r="F275" s="11" t="s">
        <v>45</v>
      </c>
      <c r="G275" s="11" t="n">
        <v>2</v>
      </c>
      <c r="H275" s="21" t="n">
        <v>110</v>
      </c>
      <c r="I275" s="21" t="n">
        <v>62</v>
      </c>
      <c r="J275" s="22" t="n">
        <v>0.15</v>
      </c>
      <c r="K275" s="21" t="n">
        <f aca="false">G275*H275*(1-J275)</f>
        <v>187</v>
      </c>
      <c r="L275" s="21" t="n">
        <f aca="false">G275*I275</f>
        <v>124</v>
      </c>
      <c r="M275" s="21" t="n">
        <f aca="false">K275-L275</f>
        <v>63</v>
      </c>
      <c r="N275" s="11" t="str">
        <f aca="false">TEXT(B275,"mmm")</f>
        <v>Mar</v>
      </c>
    </row>
    <row r="276" customFormat="false" ht="15" hidden="false" customHeight="false" outlineLevel="0" collapsed="false">
      <c r="A276" s="11" t="s">
        <v>337</v>
      </c>
      <c r="B276" s="20" t="n">
        <v>45740</v>
      </c>
      <c r="C276" s="11" t="s">
        <v>18</v>
      </c>
      <c r="D276" s="11" t="s">
        <v>33</v>
      </c>
      <c r="E276" s="11" t="s">
        <v>48</v>
      </c>
      <c r="F276" s="11" t="s">
        <v>42</v>
      </c>
      <c r="G276" s="11" t="n">
        <v>4</v>
      </c>
      <c r="H276" s="21" t="n">
        <v>520</v>
      </c>
      <c r="I276" s="21" t="n">
        <v>415</v>
      </c>
      <c r="J276" s="22" t="n">
        <v>0.15</v>
      </c>
      <c r="K276" s="21" t="n">
        <f aca="false">G276*H276*(1-J276)</f>
        <v>1768</v>
      </c>
      <c r="L276" s="21" t="n">
        <f aca="false">G276*I276</f>
        <v>1660</v>
      </c>
      <c r="M276" s="21" t="n">
        <f aca="false">K276-L276</f>
        <v>108</v>
      </c>
      <c r="N276" s="11" t="str">
        <f aca="false">TEXT(B276,"mmm")</f>
        <v>Mar</v>
      </c>
    </row>
    <row r="277" customFormat="false" ht="15" hidden="false" customHeight="false" outlineLevel="0" collapsed="false">
      <c r="A277" s="11" t="s">
        <v>338</v>
      </c>
      <c r="B277" s="20" t="n">
        <v>45740</v>
      </c>
      <c r="C277" s="11" t="s">
        <v>20</v>
      </c>
      <c r="D277" s="11" t="s">
        <v>37</v>
      </c>
      <c r="E277" s="11" t="s">
        <v>49</v>
      </c>
      <c r="F277" s="11" t="s">
        <v>44</v>
      </c>
      <c r="G277" s="11" t="n">
        <v>19</v>
      </c>
      <c r="H277" s="21" t="n">
        <v>28</v>
      </c>
      <c r="I277" s="21" t="n">
        <v>17</v>
      </c>
      <c r="J277" s="22" t="n">
        <v>0</v>
      </c>
      <c r="K277" s="21" t="n">
        <f aca="false">G277*H277*(1-J277)</f>
        <v>532</v>
      </c>
      <c r="L277" s="21" t="n">
        <f aca="false">G277*I277</f>
        <v>323</v>
      </c>
      <c r="M277" s="21" t="n">
        <f aca="false">K277-L277</f>
        <v>209</v>
      </c>
      <c r="N277" s="11" t="str">
        <f aca="false">TEXT(B277,"mmm")</f>
        <v>Mar</v>
      </c>
    </row>
    <row r="278" customFormat="false" ht="15" hidden="false" customHeight="false" outlineLevel="0" collapsed="false">
      <c r="A278" s="11" t="s">
        <v>339</v>
      </c>
      <c r="B278" s="20" t="n">
        <v>45741</v>
      </c>
      <c r="C278" s="11" t="s">
        <v>24</v>
      </c>
      <c r="D278" s="11" t="s">
        <v>37</v>
      </c>
      <c r="E278" s="11" t="s">
        <v>49</v>
      </c>
      <c r="F278" s="11" t="s">
        <v>45</v>
      </c>
      <c r="G278" s="11" t="n">
        <v>96</v>
      </c>
      <c r="H278" s="21" t="n">
        <v>28</v>
      </c>
      <c r="I278" s="21" t="n">
        <v>17</v>
      </c>
      <c r="J278" s="22" t="n">
        <v>0.1</v>
      </c>
      <c r="K278" s="21" t="n">
        <f aca="false">G278*H278*(1-J278)</f>
        <v>2419.2</v>
      </c>
      <c r="L278" s="21" t="n">
        <f aca="false">G278*I278</f>
        <v>1632</v>
      </c>
      <c r="M278" s="21" t="n">
        <f aca="false">K278-L278</f>
        <v>787.2</v>
      </c>
      <c r="N278" s="11" t="str">
        <f aca="false">TEXT(B278,"mmm")</f>
        <v>Mar</v>
      </c>
    </row>
    <row r="279" customFormat="false" ht="15" hidden="false" customHeight="false" outlineLevel="0" collapsed="false">
      <c r="A279" s="11" t="s">
        <v>340</v>
      </c>
      <c r="B279" s="20" t="n">
        <v>45741</v>
      </c>
      <c r="C279" s="11" t="s">
        <v>20</v>
      </c>
      <c r="D279" s="11" t="s">
        <v>35</v>
      </c>
      <c r="E279" s="11" t="s">
        <v>56</v>
      </c>
      <c r="F279" s="11" t="s">
        <v>45</v>
      </c>
      <c r="G279" s="11" t="n">
        <v>2</v>
      </c>
      <c r="H279" s="21" t="n">
        <v>110</v>
      </c>
      <c r="I279" s="21" t="n">
        <v>62</v>
      </c>
      <c r="J279" s="22" t="n">
        <v>0.15</v>
      </c>
      <c r="K279" s="21" t="n">
        <f aca="false">G279*H279*(1-J279)</f>
        <v>187</v>
      </c>
      <c r="L279" s="21" t="n">
        <f aca="false">G279*I279</f>
        <v>124</v>
      </c>
      <c r="M279" s="21" t="n">
        <f aca="false">K279-L279</f>
        <v>63</v>
      </c>
      <c r="N279" s="11" t="str">
        <f aca="false">TEXT(B279,"mmm")</f>
        <v>Mar</v>
      </c>
    </row>
    <row r="280" customFormat="false" ht="15" hidden="false" customHeight="false" outlineLevel="0" collapsed="false">
      <c r="A280" s="11" t="s">
        <v>341</v>
      </c>
      <c r="B280" s="20" t="n">
        <v>45741</v>
      </c>
      <c r="C280" s="11" t="s">
        <v>22</v>
      </c>
      <c r="D280" s="11" t="s">
        <v>33</v>
      </c>
      <c r="E280" s="11" t="s">
        <v>51</v>
      </c>
      <c r="F280" s="11" t="s">
        <v>42</v>
      </c>
      <c r="G280" s="11" t="n">
        <v>4</v>
      </c>
      <c r="H280" s="21" t="n">
        <v>90</v>
      </c>
      <c r="I280" s="21" t="n">
        <v>58</v>
      </c>
      <c r="J280" s="22" t="n">
        <v>0</v>
      </c>
      <c r="K280" s="21" t="n">
        <f aca="false">G280*H280*(1-J280)</f>
        <v>360</v>
      </c>
      <c r="L280" s="21" t="n">
        <f aca="false">G280*I280</f>
        <v>232</v>
      </c>
      <c r="M280" s="21" t="n">
        <f aca="false">K280-L280</f>
        <v>128</v>
      </c>
      <c r="N280" s="11" t="str">
        <f aca="false">TEXT(B280,"mmm")</f>
        <v>Mar</v>
      </c>
    </row>
    <row r="281" customFormat="false" ht="15" hidden="false" customHeight="false" outlineLevel="0" collapsed="false">
      <c r="A281" s="11" t="s">
        <v>342</v>
      </c>
      <c r="B281" s="20" t="n">
        <v>45741</v>
      </c>
      <c r="C281" s="11" t="s">
        <v>20</v>
      </c>
      <c r="D281" s="11" t="s">
        <v>35</v>
      </c>
      <c r="E281" s="11" t="s">
        <v>56</v>
      </c>
      <c r="F281" s="11" t="s">
        <v>44</v>
      </c>
      <c r="G281" s="11" t="n">
        <v>4</v>
      </c>
      <c r="H281" s="21" t="n">
        <v>110</v>
      </c>
      <c r="I281" s="21" t="n">
        <v>62</v>
      </c>
      <c r="J281" s="22" t="n">
        <v>0.1</v>
      </c>
      <c r="K281" s="21" t="n">
        <f aca="false">G281*H281*(1-J281)</f>
        <v>396</v>
      </c>
      <c r="L281" s="21" t="n">
        <f aca="false">G281*I281</f>
        <v>248</v>
      </c>
      <c r="M281" s="21" t="n">
        <f aca="false">K281-L281</f>
        <v>148</v>
      </c>
      <c r="N281" s="11" t="str">
        <f aca="false">TEXT(B281,"mmm")</f>
        <v>Mar</v>
      </c>
    </row>
    <row r="282" customFormat="false" ht="15" hidden="false" customHeight="false" outlineLevel="0" collapsed="false">
      <c r="A282" s="11" t="s">
        <v>343</v>
      </c>
      <c r="B282" s="20" t="n">
        <v>45742</v>
      </c>
      <c r="C282" s="11" t="s">
        <v>24</v>
      </c>
      <c r="D282" s="11" t="s">
        <v>33</v>
      </c>
      <c r="E282" s="11" t="s">
        <v>50</v>
      </c>
      <c r="F282" s="11" t="s">
        <v>42</v>
      </c>
      <c r="G282" s="11" t="n">
        <v>3</v>
      </c>
      <c r="H282" s="21" t="n">
        <v>780</v>
      </c>
      <c r="I282" s="21" t="n">
        <v>600</v>
      </c>
      <c r="J282" s="22" t="n">
        <v>0.1</v>
      </c>
      <c r="K282" s="21" t="n">
        <f aca="false">G282*H282*(1-J282)</f>
        <v>2106</v>
      </c>
      <c r="L282" s="21" t="n">
        <f aca="false">G282*I282</f>
        <v>1800</v>
      </c>
      <c r="M282" s="21" t="n">
        <f aca="false">K282-L282</f>
        <v>306</v>
      </c>
      <c r="N282" s="11" t="str">
        <f aca="false">TEXT(B282,"mmm")</f>
        <v>Mar</v>
      </c>
    </row>
    <row r="283" customFormat="false" ht="15" hidden="false" customHeight="false" outlineLevel="0" collapsed="false">
      <c r="A283" s="11" t="s">
        <v>344</v>
      </c>
      <c r="B283" s="20" t="n">
        <v>45742</v>
      </c>
      <c r="C283" s="11" t="s">
        <v>20</v>
      </c>
      <c r="D283" s="11" t="s">
        <v>37</v>
      </c>
      <c r="E283" s="11" t="s">
        <v>52</v>
      </c>
      <c r="F283" s="11" t="s">
        <v>42</v>
      </c>
      <c r="G283" s="11" t="n">
        <v>36</v>
      </c>
      <c r="H283" s="21" t="n">
        <v>12</v>
      </c>
      <c r="I283" s="21" t="n">
        <v>6</v>
      </c>
      <c r="J283" s="22" t="n">
        <v>0.05</v>
      </c>
      <c r="K283" s="21" t="n">
        <f aca="false">G283*H283*(1-J283)</f>
        <v>410.4</v>
      </c>
      <c r="L283" s="21" t="n">
        <f aca="false">G283*I283</f>
        <v>216</v>
      </c>
      <c r="M283" s="21" t="n">
        <f aca="false">K283-L283</f>
        <v>194.4</v>
      </c>
      <c r="N283" s="11" t="str">
        <f aca="false">TEXT(B283,"mmm")</f>
        <v>Mar</v>
      </c>
    </row>
    <row r="284" customFormat="false" ht="15" hidden="false" customHeight="false" outlineLevel="0" collapsed="false">
      <c r="A284" s="11" t="s">
        <v>345</v>
      </c>
      <c r="B284" s="20" t="n">
        <v>45742</v>
      </c>
      <c r="C284" s="11" t="s">
        <v>18</v>
      </c>
      <c r="D284" s="11" t="s">
        <v>35</v>
      </c>
      <c r="E284" s="11" t="s">
        <v>55</v>
      </c>
      <c r="F284" s="11" t="s">
        <v>42</v>
      </c>
      <c r="G284" s="11" t="n">
        <v>2</v>
      </c>
      <c r="H284" s="21" t="n">
        <v>150</v>
      </c>
      <c r="I284" s="21" t="n">
        <v>82</v>
      </c>
      <c r="J284" s="22" t="n">
        <v>0.05</v>
      </c>
      <c r="K284" s="21" t="n">
        <f aca="false">G284*H284*(1-J284)</f>
        <v>285</v>
      </c>
      <c r="L284" s="21" t="n">
        <f aca="false">G284*I284</f>
        <v>164</v>
      </c>
      <c r="M284" s="21" t="n">
        <f aca="false">K284-L284</f>
        <v>121</v>
      </c>
      <c r="N284" s="11" t="str">
        <f aca="false">TEXT(B284,"mmm")</f>
        <v>Mar</v>
      </c>
    </row>
    <row r="285" customFormat="false" ht="15" hidden="false" customHeight="false" outlineLevel="0" collapsed="false">
      <c r="A285" s="11" t="s">
        <v>346</v>
      </c>
      <c r="B285" s="20" t="n">
        <v>45743</v>
      </c>
      <c r="C285" s="11" t="s">
        <v>18</v>
      </c>
      <c r="D285" s="11" t="s">
        <v>37</v>
      </c>
      <c r="E285" s="11" t="s">
        <v>53</v>
      </c>
      <c r="F285" s="11" t="s">
        <v>45</v>
      </c>
      <c r="G285" s="11" t="n">
        <v>78</v>
      </c>
      <c r="H285" s="21" t="n">
        <v>9</v>
      </c>
      <c r="I285" s="21" t="n">
        <v>4.5</v>
      </c>
      <c r="J285" s="22" t="n">
        <v>0.2</v>
      </c>
      <c r="K285" s="21" t="n">
        <f aca="false">G285*H285*(1-J285)</f>
        <v>561.6</v>
      </c>
      <c r="L285" s="21" t="n">
        <f aca="false">G285*I285</f>
        <v>351</v>
      </c>
      <c r="M285" s="21" t="n">
        <f aca="false">K285-L285</f>
        <v>210.6</v>
      </c>
      <c r="N285" s="11" t="str">
        <f aca="false">TEXT(B285,"mmm")</f>
        <v>Mar</v>
      </c>
    </row>
    <row r="286" customFormat="false" ht="15" hidden="false" customHeight="false" outlineLevel="0" collapsed="false">
      <c r="A286" s="11" t="s">
        <v>347</v>
      </c>
      <c r="B286" s="20" t="n">
        <v>45743</v>
      </c>
      <c r="C286" s="11" t="s">
        <v>18</v>
      </c>
      <c r="D286" s="11" t="s">
        <v>37</v>
      </c>
      <c r="E286" s="11" t="s">
        <v>49</v>
      </c>
      <c r="F286" s="11" t="s">
        <v>42</v>
      </c>
      <c r="G286" s="11" t="n">
        <v>21</v>
      </c>
      <c r="H286" s="21" t="n">
        <v>28</v>
      </c>
      <c r="I286" s="21" t="n">
        <v>17</v>
      </c>
      <c r="J286" s="22" t="n">
        <v>0.05</v>
      </c>
      <c r="K286" s="21" t="n">
        <f aca="false">G286*H286*(1-J286)</f>
        <v>558.6</v>
      </c>
      <c r="L286" s="21" t="n">
        <f aca="false">G286*I286</f>
        <v>357</v>
      </c>
      <c r="M286" s="21" t="n">
        <f aca="false">K286-L286</f>
        <v>201.6</v>
      </c>
      <c r="N286" s="11" t="str">
        <f aca="false">TEXT(B286,"mmm")</f>
        <v>Mar</v>
      </c>
    </row>
    <row r="287" customFormat="false" ht="15" hidden="false" customHeight="false" outlineLevel="0" collapsed="false">
      <c r="A287" s="11" t="s">
        <v>348</v>
      </c>
      <c r="B287" s="20" t="n">
        <v>45743</v>
      </c>
      <c r="C287" s="11" t="s">
        <v>24</v>
      </c>
      <c r="D287" s="11" t="s">
        <v>37</v>
      </c>
      <c r="E287" s="11" t="s">
        <v>52</v>
      </c>
      <c r="F287" s="11" t="s">
        <v>44</v>
      </c>
      <c r="G287" s="11" t="n">
        <v>7</v>
      </c>
      <c r="H287" s="21" t="n">
        <v>12</v>
      </c>
      <c r="I287" s="21" t="n">
        <v>6</v>
      </c>
      <c r="J287" s="22" t="n">
        <v>0.05</v>
      </c>
      <c r="K287" s="21" t="n">
        <f aca="false">G287*H287*(1-J287)</f>
        <v>79.8</v>
      </c>
      <c r="L287" s="21" t="n">
        <f aca="false">G287*I287</f>
        <v>42</v>
      </c>
      <c r="M287" s="21" t="n">
        <f aca="false">K287-L287</f>
        <v>37.8</v>
      </c>
      <c r="N287" s="11" t="str">
        <f aca="false">TEXT(B287,"mmm")</f>
        <v>Mar</v>
      </c>
    </row>
    <row r="288" customFormat="false" ht="15" hidden="false" customHeight="false" outlineLevel="0" collapsed="false">
      <c r="A288" s="11" t="s">
        <v>349</v>
      </c>
      <c r="B288" s="20" t="n">
        <v>45743</v>
      </c>
      <c r="C288" s="11" t="s">
        <v>20</v>
      </c>
      <c r="D288" s="11" t="s">
        <v>37</v>
      </c>
      <c r="E288" s="11" t="s">
        <v>53</v>
      </c>
      <c r="F288" s="11" t="s">
        <v>44</v>
      </c>
      <c r="G288" s="11" t="n">
        <v>3</v>
      </c>
      <c r="H288" s="21" t="n">
        <v>9</v>
      </c>
      <c r="I288" s="21" t="n">
        <v>4.5</v>
      </c>
      <c r="J288" s="22" t="n">
        <v>0.05</v>
      </c>
      <c r="K288" s="21" t="n">
        <f aca="false">G288*H288*(1-J288)</f>
        <v>25.65</v>
      </c>
      <c r="L288" s="21" t="n">
        <f aca="false">G288*I288</f>
        <v>13.5</v>
      </c>
      <c r="M288" s="21" t="n">
        <f aca="false">K288-L288</f>
        <v>12.15</v>
      </c>
      <c r="N288" s="11" t="str">
        <f aca="false">TEXT(B288,"mmm")</f>
        <v>Mar</v>
      </c>
    </row>
    <row r="289" customFormat="false" ht="15" hidden="false" customHeight="false" outlineLevel="0" collapsed="false">
      <c r="A289" s="11" t="s">
        <v>350</v>
      </c>
      <c r="B289" s="20" t="n">
        <v>45743</v>
      </c>
      <c r="C289" s="11" t="s">
        <v>18</v>
      </c>
      <c r="D289" s="11" t="s">
        <v>37</v>
      </c>
      <c r="E289" s="11" t="s">
        <v>49</v>
      </c>
      <c r="F289" s="11" t="s">
        <v>45</v>
      </c>
      <c r="G289" s="11" t="n">
        <v>33</v>
      </c>
      <c r="H289" s="21" t="n">
        <v>28</v>
      </c>
      <c r="I289" s="21" t="n">
        <v>17</v>
      </c>
      <c r="J289" s="22" t="n">
        <v>0.15</v>
      </c>
      <c r="K289" s="21" t="n">
        <f aca="false">G289*H289*(1-J289)</f>
        <v>785.4</v>
      </c>
      <c r="L289" s="21" t="n">
        <f aca="false">G289*I289</f>
        <v>561</v>
      </c>
      <c r="M289" s="21" t="n">
        <f aca="false">K289-L289</f>
        <v>224.4</v>
      </c>
      <c r="N289" s="11" t="str">
        <f aca="false">TEXT(B289,"mmm")</f>
        <v>Mar</v>
      </c>
    </row>
    <row r="290" customFormat="false" ht="15" hidden="false" customHeight="false" outlineLevel="0" collapsed="false">
      <c r="A290" s="11" t="s">
        <v>351</v>
      </c>
      <c r="B290" s="20" t="n">
        <v>45744</v>
      </c>
      <c r="C290" s="11" t="s">
        <v>20</v>
      </c>
      <c r="D290" s="11" t="s">
        <v>33</v>
      </c>
      <c r="E290" s="11" t="s">
        <v>51</v>
      </c>
      <c r="F290" s="11" t="s">
        <v>44</v>
      </c>
      <c r="G290" s="11" t="n">
        <v>2</v>
      </c>
      <c r="H290" s="21" t="n">
        <v>90</v>
      </c>
      <c r="I290" s="21" t="n">
        <v>58</v>
      </c>
      <c r="J290" s="22" t="n">
        <v>0.1</v>
      </c>
      <c r="K290" s="21" t="n">
        <f aca="false">G290*H290*(1-J290)</f>
        <v>162</v>
      </c>
      <c r="L290" s="21" t="n">
        <f aca="false">G290*I290</f>
        <v>116</v>
      </c>
      <c r="M290" s="21" t="n">
        <f aca="false">K290-L290</f>
        <v>46</v>
      </c>
      <c r="N290" s="11" t="str">
        <f aca="false">TEXT(B290,"mmm")</f>
        <v>Mar</v>
      </c>
    </row>
    <row r="291" customFormat="false" ht="15" hidden="false" customHeight="false" outlineLevel="0" collapsed="false">
      <c r="A291" s="11" t="s">
        <v>352</v>
      </c>
      <c r="B291" s="20" t="n">
        <v>45744</v>
      </c>
      <c r="C291" s="11" t="s">
        <v>20</v>
      </c>
      <c r="D291" s="11" t="s">
        <v>35</v>
      </c>
      <c r="E291" s="11" t="s">
        <v>55</v>
      </c>
      <c r="F291" s="11" t="s">
        <v>44</v>
      </c>
      <c r="G291" s="11" t="n">
        <v>3</v>
      </c>
      <c r="H291" s="21" t="n">
        <v>150</v>
      </c>
      <c r="I291" s="21" t="n">
        <v>82</v>
      </c>
      <c r="J291" s="22" t="n">
        <v>0.05</v>
      </c>
      <c r="K291" s="21" t="n">
        <f aca="false">G291*H291*(1-J291)</f>
        <v>427.5</v>
      </c>
      <c r="L291" s="21" t="n">
        <f aca="false">G291*I291</f>
        <v>246</v>
      </c>
      <c r="M291" s="21" t="n">
        <f aca="false">K291-L291</f>
        <v>181.5</v>
      </c>
      <c r="N291" s="11" t="str">
        <f aca="false">TEXT(B291,"mmm")</f>
        <v>Mar</v>
      </c>
    </row>
    <row r="292" customFormat="false" ht="15" hidden="false" customHeight="false" outlineLevel="0" collapsed="false">
      <c r="A292" s="11" t="s">
        <v>353</v>
      </c>
      <c r="B292" s="20" t="n">
        <v>45744</v>
      </c>
      <c r="C292" s="11" t="s">
        <v>24</v>
      </c>
      <c r="D292" s="11" t="s">
        <v>35</v>
      </c>
      <c r="E292" s="11" t="s">
        <v>54</v>
      </c>
      <c r="F292" s="11" t="s">
        <v>44</v>
      </c>
      <c r="G292" s="11" t="n">
        <v>1</v>
      </c>
      <c r="H292" s="21" t="n">
        <v>320</v>
      </c>
      <c r="I292" s="21" t="n">
        <v>185</v>
      </c>
      <c r="J292" s="22" t="n">
        <v>0</v>
      </c>
      <c r="K292" s="21" t="n">
        <f aca="false">G292*H292*(1-J292)</f>
        <v>320</v>
      </c>
      <c r="L292" s="21" t="n">
        <f aca="false">G292*I292</f>
        <v>185</v>
      </c>
      <c r="M292" s="21" t="n">
        <f aca="false">K292-L292</f>
        <v>135</v>
      </c>
      <c r="N292" s="11" t="str">
        <f aca="false">TEXT(B292,"mmm")</f>
        <v>Mar</v>
      </c>
    </row>
    <row r="293" customFormat="false" ht="15" hidden="false" customHeight="false" outlineLevel="0" collapsed="false">
      <c r="A293" s="11" t="s">
        <v>354</v>
      </c>
      <c r="B293" s="20" t="n">
        <v>45744</v>
      </c>
      <c r="C293" s="11" t="s">
        <v>20</v>
      </c>
      <c r="D293" s="11" t="s">
        <v>35</v>
      </c>
      <c r="E293" s="11" t="s">
        <v>55</v>
      </c>
      <c r="F293" s="11" t="s">
        <v>42</v>
      </c>
      <c r="G293" s="11" t="n">
        <v>1</v>
      </c>
      <c r="H293" s="21" t="n">
        <v>150</v>
      </c>
      <c r="I293" s="21" t="n">
        <v>82</v>
      </c>
      <c r="J293" s="22" t="n">
        <v>0.1</v>
      </c>
      <c r="K293" s="21" t="n">
        <f aca="false">G293*H293*(1-J293)</f>
        <v>135</v>
      </c>
      <c r="L293" s="21" t="n">
        <f aca="false">G293*I293</f>
        <v>82</v>
      </c>
      <c r="M293" s="21" t="n">
        <f aca="false">K293-L293</f>
        <v>53</v>
      </c>
      <c r="N293" s="11" t="str">
        <f aca="false">TEXT(B293,"mmm")</f>
        <v>Mar</v>
      </c>
    </row>
    <row r="294" customFormat="false" ht="15" hidden="false" customHeight="false" outlineLevel="0" collapsed="false">
      <c r="A294" s="11" t="s">
        <v>355</v>
      </c>
      <c r="B294" s="20" t="n">
        <v>45744</v>
      </c>
      <c r="C294" s="11" t="s">
        <v>18</v>
      </c>
      <c r="D294" s="11" t="s">
        <v>37</v>
      </c>
      <c r="E294" s="11" t="s">
        <v>53</v>
      </c>
      <c r="F294" s="11" t="s">
        <v>44</v>
      </c>
      <c r="G294" s="11" t="n">
        <v>12</v>
      </c>
      <c r="H294" s="21" t="n">
        <v>9</v>
      </c>
      <c r="I294" s="21" t="n">
        <v>4.5</v>
      </c>
      <c r="J294" s="22" t="n">
        <v>0.05</v>
      </c>
      <c r="K294" s="21" t="n">
        <f aca="false">G294*H294*(1-J294)</f>
        <v>102.6</v>
      </c>
      <c r="L294" s="21" t="n">
        <f aca="false">G294*I294</f>
        <v>54</v>
      </c>
      <c r="M294" s="21" t="n">
        <f aca="false">K294-L294</f>
        <v>48.6</v>
      </c>
      <c r="N294" s="11" t="str">
        <f aca="false">TEXT(B294,"mmm")</f>
        <v>Mar</v>
      </c>
    </row>
    <row r="295" customFormat="false" ht="15" hidden="false" customHeight="false" outlineLevel="0" collapsed="false">
      <c r="A295" s="11" t="s">
        <v>356</v>
      </c>
      <c r="B295" s="20" t="n">
        <v>45748</v>
      </c>
      <c r="C295" s="11" t="s">
        <v>24</v>
      </c>
      <c r="D295" s="11" t="s">
        <v>33</v>
      </c>
      <c r="E295" s="11" t="s">
        <v>51</v>
      </c>
      <c r="F295" s="11" t="s">
        <v>44</v>
      </c>
      <c r="G295" s="11" t="n">
        <v>5</v>
      </c>
      <c r="H295" s="21" t="n">
        <v>90</v>
      </c>
      <c r="I295" s="21" t="n">
        <v>58</v>
      </c>
      <c r="J295" s="22" t="n">
        <v>0</v>
      </c>
      <c r="K295" s="21" t="n">
        <f aca="false">G295*H295*(1-J295)</f>
        <v>450</v>
      </c>
      <c r="L295" s="21" t="n">
        <f aca="false">G295*I295</f>
        <v>290</v>
      </c>
      <c r="M295" s="21" t="n">
        <f aca="false">K295-L295</f>
        <v>160</v>
      </c>
      <c r="N295" s="11" t="str">
        <f aca="false">TEXT(B295,"mmm")</f>
        <v>Apr</v>
      </c>
    </row>
    <row r="296" customFormat="false" ht="15" hidden="false" customHeight="false" outlineLevel="0" collapsed="false">
      <c r="A296" s="11" t="s">
        <v>357</v>
      </c>
      <c r="B296" s="20" t="n">
        <v>45749</v>
      </c>
      <c r="C296" s="11" t="s">
        <v>18</v>
      </c>
      <c r="D296" s="11" t="s">
        <v>33</v>
      </c>
      <c r="E296" s="11" t="s">
        <v>51</v>
      </c>
      <c r="F296" s="11" t="s">
        <v>44</v>
      </c>
      <c r="G296" s="11" t="n">
        <v>4</v>
      </c>
      <c r="H296" s="21" t="n">
        <v>90</v>
      </c>
      <c r="I296" s="21" t="n">
        <v>58</v>
      </c>
      <c r="J296" s="22" t="n">
        <v>0.05</v>
      </c>
      <c r="K296" s="21" t="n">
        <f aca="false">G296*H296*(1-J296)</f>
        <v>342</v>
      </c>
      <c r="L296" s="21" t="n">
        <f aca="false">G296*I296</f>
        <v>232</v>
      </c>
      <c r="M296" s="21" t="n">
        <f aca="false">K296-L296</f>
        <v>110</v>
      </c>
      <c r="N296" s="11" t="str">
        <f aca="false">TEXT(B296,"mmm")</f>
        <v>Apr</v>
      </c>
    </row>
    <row r="297" customFormat="false" ht="15" hidden="false" customHeight="false" outlineLevel="0" collapsed="false">
      <c r="A297" s="11" t="s">
        <v>358</v>
      </c>
      <c r="B297" s="20" t="n">
        <v>45749</v>
      </c>
      <c r="C297" s="11" t="s">
        <v>18</v>
      </c>
      <c r="D297" s="11" t="s">
        <v>33</v>
      </c>
      <c r="E297" s="11" t="s">
        <v>48</v>
      </c>
      <c r="F297" s="11" t="s">
        <v>44</v>
      </c>
      <c r="G297" s="11" t="n">
        <v>3</v>
      </c>
      <c r="H297" s="21" t="n">
        <v>520</v>
      </c>
      <c r="I297" s="21" t="n">
        <v>415</v>
      </c>
      <c r="J297" s="22" t="n">
        <v>0.1</v>
      </c>
      <c r="K297" s="21" t="n">
        <f aca="false">G297*H297*(1-J297)</f>
        <v>1404</v>
      </c>
      <c r="L297" s="21" t="n">
        <f aca="false">G297*I297</f>
        <v>1245</v>
      </c>
      <c r="M297" s="21" t="n">
        <f aca="false">K297-L297</f>
        <v>159</v>
      </c>
      <c r="N297" s="11" t="str">
        <f aca="false">TEXT(B297,"mmm")</f>
        <v>Apr</v>
      </c>
    </row>
    <row r="298" customFormat="false" ht="15" hidden="false" customHeight="false" outlineLevel="0" collapsed="false">
      <c r="A298" s="11" t="s">
        <v>359</v>
      </c>
      <c r="B298" s="20" t="n">
        <v>45749</v>
      </c>
      <c r="C298" s="11" t="s">
        <v>20</v>
      </c>
      <c r="D298" s="11" t="s">
        <v>37</v>
      </c>
      <c r="E298" s="11" t="s">
        <v>53</v>
      </c>
      <c r="F298" s="11" t="s">
        <v>44</v>
      </c>
      <c r="G298" s="11" t="n">
        <v>31</v>
      </c>
      <c r="H298" s="21" t="n">
        <v>9</v>
      </c>
      <c r="I298" s="21" t="n">
        <v>4.5</v>
      </c>
      <c r="J298" s="22" t="n">
        <v>0.05</v>
      </c>
      <c r="K298" s="21" t="n">
        <f aca="false">G298*H298*(1-J298)</f>
        <v>265.05</v>
      </c>
      <c r="L298" s="21" t="n">
        <f aca="false">G298*I298</f>
        <v>139.5</v>
      </c>
      <c r="M298" s="21" t="n">
        <f aca="false">K298-L298</f>
        <v>125.55</v>
      </c>
      <c r="N298" s="11" t="str">
        <f aca="false">TEXT(B298,"mmm")</f>
        <v>Apr</v>
      </c>
    </row>
    <row r="299" customFormat="false" ht="15" hidden="false" customHeight="false" outlineLevel="0" collapsed="false">
      <c r="A299" s="11" t="s">
        <v>360</v>
      </c>
      <c r="B299" s="20" t="n">
        <v>45749</v>
      </c>
      <c r="C299" s="11" t="s">
        <v>22</v>
      </c>
      <c r="D299" s="11" t="s">
        <v>33</v>
      </c>
      <c r="E299" s="11" t="s">
        <v>48</v>
      </c>
      <c r="F299" s="11" t="s">
        <v>45</v>
      </c>
      <c r="G299" s="11" t="n">
        <v>2</v>
      </c>
      <c r="H299" s="21" t="n">
        <v>520</v>
      </c>
      <c r="I299" s="21" t="n">
        <v>415</v>
      </c>
      <c r="J299" s="22" t="n">
        <v>0.2</v>
      </c>
      <c r="K299" s="21" t="n">
        <f aca="false">G299*H299*(1-J299)</f>
        <v>832</v>
      </c>
      <c r="L299" s="21" t="n">
        <f aca="false">G299*I299</f>
        <v>830</v>
      </c>
      <c r="M299" s="21" t="n">
        <f aca="false">K299-L299</f>
        <v>2</v>
      </c>
      <c r="N299" s="11" t="str">
        <f aca="false">TEXT(B299,"mmm")</f>
        <v>Apr</v>
      </c>
    </row>
    <row r="300" customFormat="false" ht="15" hidden="false" customHeight="false" outlineLevel="0" collapsed="false">
      <c r="A300" s="11" t="s">
        <v>361</v>
      </c>
      <c r="B300" s="20" t="n">
        <v>45749</v>
      </c>
      <c r="C300" s="11" t="s">
        <v>20</v>
      </c>
      <c r="D300" s="11" t="s">
        <v>35</v>
      </c>
      <c r="E300" s="11" t="s">
        <v>56</v>
      </c>
      <c r="F300" s="11" t="s">
        <v>42</v>
      </c>
      <c r="G300" s="11" t="n">
        <v>1</v>
      </c>
      <c r="H300" s="21" t="n">
        <v>110</v>
      </c>
      <c r="I300" s="21" t="n">
        <v>62</v>
      </c>
      <c r="J300" s="22" t="n">
        <v>0.15</v>
      </c>
      <c r="K300" s="21" t="n">
        <f aca="false">G300*H300*(1-J300)</f>
        <v>93.5</v>
      </c>
      <c r="L300" s="21" t="n">
        <f aca="false">G300*I300</f>
        <v>62</v>
      </c>
      <c r="M300" s="21" t="n">
        <f aca="false">K300-L300</f>
        <v>31.5</v>
      </c>
      <c r="N300" s="11" t="str">
        <f aca="false">TEXT(B300,"mmm")</f>
        <v>Apr</v>
      </c>
    </row>
    <row r="301" customFormat="false" ht="15" hidden="false" customHeight="false" outlineLevel="0" collapsed="false">
      <c r="A301" s="11" t="s">
        <v>362</v>
      </c>
      <c r="B301" s="20" t="n">
        <v>45750</v>
      </c>
      <c r="C301" s="11" t="s">
        <v>22</v>
      </c>
      <c r="D301" s="11" t="s">
        <v>33</v>
      </c>
      <c r="E301" s="11" t="s">
        <v>50</v>
      </c>
      <c r="F301" s="11" t="s">
        <v>42</v>
      </c>
      <c r="G301" s="11" t="n">
        <v>1</v>
      </c>
      <c r="H301" s="21" t="n">
        <v>780</v>
      </c>
      <c r="I301" s="21" t="n">
        <v>600</v>
      </c>
      <c r="J301" s="22" t="n">
        <v>0.15</v>
      </c>
      <c r="K301" s="21" t="n">
        <f aca="false">G301*H301*(1-J301)</f>
        <v>663</v>
      </c>
      <c r="L301" s="21" t="n">
        <f aca="false">G301*I301</f>
        <v>600</v>
      </c>
      <c r="M301" s="21" t="n">
        <f aca="false">K301-L301</f>
        <v>63</v>
      </c>
      <c r="N301" s="11" t="str">
        <f aca="false">TEXT(B301,"mmm")</f>
        <v>Apr</v>
      </c>
    </row>
    <row r="302" customFormat="false" ht="15" hidden="false" customHeight="false" outlineLevel="0" collapsed="false">
      <c r="A302" s="11" t="s">
        <v>363</v>
      </c>
      <c r="B302" s="20" t="n">
        <v>45750</v>
      </c>
      <c r="C302" s="11" t="s">
        <v>20</v>
      </c>
      <c r="D302" s="11" t="s">
        <v>37</v>
      </c>
      <c r="E302" s="11" t="s">
        <v>53</v>
      </c>
      <c r="F302" s="11" t="s">
        <v>42</v>
      </c>
      <c r="G302" s="11" t="n">
        <v>22</v>
      </c>
      <c r="H302" s="21" t="n">
        <v>9</v>
      </c>
      <c r="I302" s="21" t="n">
        <v>4.5</v>
      </c>
      <c r="J302" s="22" t="n">
        <v>0.1</v>
      </c>
      <c r="K302" s="21" t="n">
        <f aca="false">G302*H302*(1-J302)</f>
        <v>178.2</v>
      </c>
      <c r="L302" s="21" t="n">
        <f aca="false">G302*I302</f>
        <v>99</v>
      </c>
      <c r="M302" s="21" t="n">
        <f aca="false">K302-L302</f>
        <v>79.2</v>
      </c>
      <c r="N302" s="11" t="str">
        <f aca="false">TEXT(B302,"mmm")</f>
        <v>Apr</v>
      </c>
    </row>
    <row r="303" customFormat="false" ht="15" hidden="false" customHeight="false" outlineLevel="0" collapsed="false">
      <c r="A303" s="11" t="s">
        <v>364</v>
      </c>
      <c r="B303" s="20" t="n">
        <v>45750</v>
      </c>
      <c r="C303" s="11" t="s">
        <v>20</v>
      </c>
      <c r="D303" s="11" t="s">
        <v>35</v>
      </c>
      <c r="E303" s="11" t="s">
        <v>54</v>
      </c>
      <c r="F303" s="11" t="s">
        <v>42</v>
      </c>
      <c r="G303" s="11" t="n">
        <v>2</v>
      </c>
      <c r="H303" s="21" t="n">
        <v>320</v>
      </c>
      <c r="I303" s="21" t="n">
        <v>185</v>
      </c>
      <c r="J303" s="22" t="n">
        <v>0</v>
      </c>
      <c r="K303" s="21" t="n">
        <f aca="false">G303*H303*(1-J303)</f>
        <v>640</v>
      </c>
      <c r="L303" s="21" t="n">
        <f aca="false">G303*I303</f>
        <v>370</v>
      </c>
      <c r="M303" s="21" t="n">
        <f aca="false">K303-L303</f>
        <v>270</v>
      </c>
      <c r="N303" s="11" t="str">
        <f aca="false">TEXT(B303,"mmm")</f>
        <v>Apr</v>
      </c>
    </row>
    <row r="304" customFormat="false" ht="15" hidden="false" customHeight="false" outlineLevel="0" collapsed="false">
      <c r="A304" s="11" t="s">
        <v>365</v>
      </c>
      <c r="B304" s="20" t="n">
        <v>45750</v>
      </c>
      <c r="C304" s="11" t="s">
        <v>18</v>
      </c>
      <c r="D304" s="11" t="s">
        <v>37</v>
      </c>
      <c r="E304" s="11" t="s">
        <v>49</v>
      </c>
      <c r="F304" s="11" t="s">
        <v>42</v>
      </c>
      <c r="G304" s="11" t="n">
        <v>31</v>
      </c>
      <c r="H304" s="21" t="n">
        <v>28</v>
      </c>
      <c r="I304" s="21" t="n">
        <v>17</v>
      </c>
      <c r="J304" s="22" t="n">
        <v>0.15</v>
      </c>
      <c r="K304" s="21" t="n">
        <f aca="false">G304*H304*(1-J304)</f>
        <v>737.8</v>
      </c>
      <c r="L304" s="21" t="n">
        <f aca="false">G304*I304</f>
        <v>527</v>
      </c>
      <c r="M304" s="21" t="n">
        <f aca="false">K304-L304</f>
        <v>210.8</v>
      </c>
      <c r="N304" s="11" t="str">
        <f aca="false">TEXT(B304,"mmm")</f>
        <v>Apr</v>
      </c>
    </row>
    <row r="305" customFormat="false" ht="15" hidden="false" customHeight="false" outlineLevel="0" collapsed="false">
      <c r="A305" s="11" t="s">
        <v>366</v>
      </c>
      <c r="B305" s="20" t="n">
        <v>45750</v>
      </c>
      <c r="C305" s="11" t="s">
        <v>22</v>
      </c>
      <c r="D305" s="11" t="s">
        <v>35</v>
      </c>
      <c r="E305" s="11" t="s">
        <v>56</v>
      </c>
      <c r="F305" s="11" t="s">
        <v>45</v>
      </c>
      <c r="G305" s="11" t="n">
        <v>4</v>
      </c>
      <c r="H305" s="21" t="n">
        <v>110</v>
      </c>
      <c r="I305" s="21" t="n">
        <v>62</v>
      </c>
      <c r="J305" s="22" t="n">
        <v>0.2</v>
      </c>
      <c r="K305" s="21" t="n">
        <f aca="false">G305*H305*(1-J305)</f>
        <v>352</v>
      </c>
      <c r="L305" s="21" t="n">
        <f aca="false">G305*I305</f>
        <v>248</v>
      </c>
      <c r="M305" s="21" t="n">
        <f aca="false">K305-L305</f>
        <v>104</v>
      </c>
      <c r="N305" s="11" t="str">
        <f aca="false">TEXT(B305,"mmm")</f>
        <v>Apr</v>
      </c>
    </row>
    <row r="306" customFormat="false" ht="15" hidden="false" customHeight="false" outlineLevel="0" collapsed="false">
      <c r="A306" s="11" t="s">
        <v>367</v>
      </c>
      <c r="B306" s="20" t="n">
        <v>45750</v>
      </c>
      <c r="C306" s="11" t="s">
        <v>20</v>
      </c>
      <c r="D306" s="11" t="s">
        <v>37</v>
      </c>
      <c r="E306" s="11" t="s">
        <v>53</v>
      </c>
      <c r="F306" s="11" t="s">
        <v>42</v>
      </c>
      <c r="G306" s="11" t="n">
        <v>33</v>
      </c>
      <c r="H306" s="21" t="n">
        <v>9</v>
      </c>
      <c r="I306" s="21" t="n">
        <v>4.5</v>
      </c>
      <c r="J306" s="22" t="n">
        <v>0.05</v>
      </c>
      <c r="K306" s="21" t="n">
        <f aca="false">G306*H306*(1-J306)</f>
        <v>282.15</v>
      </c>
      <c r="L306" s="21" t="n">
        <f aca="false">G306*I306</f>
        <v>148.5</v>
      </c>
      <c r="M306" s="21" t="n">
        <f aca="false">K306-L306</f>
        <v>133.65</v>
      </c>
      <c r="N306" s="11" t="str">
        <f aca="false">TEXT(B306,"mmm")</f>
        <v>Apr</v>
      </c>
    </row>
    <row r="307" customFormat="false" ht="15" hidden="false" customHeight="false" outlineLevel="0" collapsed="false">
      <c r="A307" s="11" t="s">
        <v>368</v>
      </c>
      <c r="B307" s="20" t="n">
        <v>45750</v>
      </c>
      <c r="C307" s="11" t="s">
        <v>18</v>
      </c>
      <c r="D307" s="11" t="s">
        <v>33</v>
      </c>
      <c r="E307" s="11" t="s">
        <v>51</v>
      </c>
      <c r="F307" s="11" t="s">
        <v>42</v>
      </c>
      <c r="G307" s="11" t="n">
        <v>2</v>
      </c>
      <c r="H307" s="21" t="n">
        <v>90</v>
      </c>
      <c r="I307" s="21" t="n">
        <v>58</v>
      </c>
      <c r="J307" s="22" t="n">
        <v>0.05</v>
      </c>
      <c r="K307" s="21" t="n">
        <f aca="false">G307*H307*(1-J307)</f>
        <v>171</v>
      </c>
      <c r="L307" s="21" t="n">
        <f aca="false">G307*I307</f>
        <v>116</v>
      </c>
      <c r="M307" s="21" t="n">
        <f aca="false">K307-L307</f>
        <v>55</v>
      </c>
      <c r="N307" s="11" t="str">
        <f aca="false">TEXT(B307,"mmm")</f>
        <v>Apr</v>
      </c>
    </row>
    <row r="308" customFormat="false" ht="15" hidden="false" customHeight="false" outlineLevel="0" collapsed="false">
      <c r="A308" s="11" t="s">
        <v>369</v>
      </c>
      <c r="B308" s="20" t="n">
        <v>45751</v>
      </c>
      <c r="C308" s="11" t="s">
        <v>18</v>
      </c>
      <c r="D308" s="11" t="s">
        <v>33</v>
      </c>
      <c r="E308" s="11" t="s">
        <v>51</v>
      </c>
      <c r="F308" s="11" t="s">
        <v>45</v>
      </c>
      <c r="G308" s="11" t="n">
        <v>18</v>
      </c>
      <c r="H308" s="21" t="n">
        <v>90</v>
      </c>
      <c r="I308" s="21" t="n">
        <v>58</v>
      </c>
      <c r="J308" s="22" t="n">
        <v>0.15</v>
      </c>
      <c r="K308" s="21" t="n">
        <f aca="false">G308*H308*(1-J308)</f>
        <v>1377</v>
      </c>
      <c r="L308" s="21" t="n">
        <f aca="false">G308*I308</f>
        <v>1044</v>
      </c>
      <c r="M308" s="21" t="n">
        <f aca="false">K308-L308</f>
        <v>333</v>
      </c>
      <c r="N308" s="11" t="str">
        <f aca="false">TEXT(B308,"mmm")</f>
        <v>Apr</v>
      </c>
    </row>
    <row r="309" customFormat="false" ht="15" hidden="false" customHeight="false" outlineLevel="0" collapsed="false">
      <c r="A309" s="11" t="s">
        <v>370</v>
      </c>
      <c r="B309" s="20" t="n">
        <v>45751</v>
      </c>
      <c r="C309" s="11" t="s">
        <v>18</v>
      </c>
      <c r="D309" s="11" t="s">
        <v>35</v>
      </c>
      <c r="E309" s="11" t="s">
        <v>56</v>
      </c>
      <c r="F309" s="11" t="s">
        <v>44</v>
      </c>
      <c r="G309" s="11" t="n">
        <v>2</v>
      </c>
      <c r="H309" s="21" t="n">
        <v>110</v>
      </c>
      <c r="I309" s="21" t="n">
        <v>62</v>
      </c>
      <c r="J309" s="22" t="n">
        <v>0.05</v>
      </c>
      <c r="K309" s="21" t="n">
        <f aca="false">G309*H309*(1-J309)</f>
        <v>209</v>
      </c>
      <c r="L309" s="21" t="n">
        <f aca="false">G309*I309</f>
        <v>124</v>
      </c>
      <c r="M309" s="21" t="n">
        <f aca="false">K309-L309</f>
        <v>85</v>
      </c>
      <c r="N309" s="11" t="str">
        <f aca="false">TEXT(B309,"mmm")</f>
        <v>Apr</v>
      </c>
    </row>
    <row r="310" customFormat="false" ht="15" hidden="false" customHeight="false" outlineLevel="0" collapsed="false">
      <c r="A310" s="11" t="s">
        <v>371</v>
      </c>
      <c r="B310" s="20" t="n">
        <v>45751</v>
      </c>
      <c r="C310" s="11" t="s">
        <v>20</v>
      </c>
      <c r="D310" s="11" t="s">
        <v>37</v>
      </c>
      <c r="E310" s="11" t="s">
        <v>52</v>
      </c>
      <c r="F310" s="11" t="s">
        <v>42</v>
      </c>
      <c r="G310" s="11" t="n">
        <v>13</v>
      </c>
      <c r="H310" s="21" t="n">
        <v>12</v>
      </c>
      <c r="I310" s="21" t="n">
        <v>6</v>
      </c>
      <c r="J310" s="22" t="n">
        <v>0.05</v>
      </c>
      <c r="K310" s="21" t="n">
        <f aca="false">G310*H310*(1-J310)</f>
        <v>148.2</v>
      </c>
      <c r="L310" s="21" t="n">
        <f aca="false">G310*I310</f>
        <v>78</v>
      </c>
      <c r="M310" s="21" t="n">
        <f aca="false">K310-L310</f>
        <v>70.2</v>
      </c>
      <c r="N310" s="11" t="str">
        <f aca="false">TEXT(B310,"mmm")</f>
        <v>Apr</v>
      </c>
    </row>
    <row r="311" customFormat="false" ht="15" hidden="false" customHeight="false" outlineLevel="0" collapsed="false">
      <c r="A311" s="11" t="s">
        <v>372</v>
      </c>
      <c r="B311" s="20" t="n">
        <v>45751</v>
      </c>
      <c r="C311" s="11" t="s">
        <v>24</v>
      </c>
      <c r="D311" s="11" t="s">
        <v>33</v>
      </c>
      <c r="E311" s="11" t="s">
        <v>51</v>
      </c>
      <c r="F311" s="11" t="s">
        <v>44</v>
      </c>
      <c r="G311" s="11" t="n">
        <v>2</v>
      </c>
      <c r="H311" s="21" t="n">
        <v>90</v>
      </c>
      <c r="I311" s="21" t="n">
        <v>58</v>
      </c>
      <c r="J311" s="22" t="n">
        <v>0</v>
      </c>
      <c r="K311" s="21" t="n">
        <f aca="false">G311*H311*(1-J311)</f>
        <v>180</v>
      </c>
      <c r="L311" s="21" t="n">
        <f aca="false">G311*I311</f>
        <v>116</v>
      </c>
      <c r="M311" s="21" t="n">
        <f aca="false">K311-L311</f>
        <v>64</v>
      </c>
      <c r="N311" s="11" t="str">
        <f aca="false">TEXT(B311,"mmm")</f>
        <v>Apr</v>
      </c>
    </row>
    <row r="312" customFormat="false" ht="15" hidden="false" customHeight="false" outlineLevel="0" collapsed="false">
      <c r="A312" s="11" t="s">
        <v>373</v>
      </c>
      <c r="B312" s="20" t="n">
        <v>45752</v>
      </c>
      <c r="C312" s="11" t="s">
        <v>20</v>
      </c>
      <c r="D312" s="11" t="s">
        <v>37</v>
      </c>
      <c r="E312" s="11" t="s">
        <v>53</v>
      </c>
      <c r="F312" s="11" t="s">
        <v>44</v>
      </c>
      <c r="G312" s="11" t="n">
        <v>24</v>
      </c>
      <c r="H312" s="21" t="n">
        <v>9</v>
      </c>
      <c r="I312" s="21" t="n">
        <v>4.5</v>
      </c>
      <c r="J312" s="22" t="n">
        <v>0</v>
      </c>
      <c r="K312" s="21" t="n">
        <f aca="false">G312*H312*(1-J312)</f>
        <v>216</v>
      </c>
      <c r="L312" s="21" t="n">
        <f aca="false">G312*I312</f>
        <v>108</v>
      </c>
      <c r="M312" s="21" t="n">
        <f aca="false">K312-L312</f>
        <v>108</v>
      </c>
      <c r="N312" s="11" t="str">
        <f aca="false">TEXT(B312,"mmm")</f>
        <v>Apr</v>
      </c>
    </row>
    <row r="313" customFormat="false" ht="15" hidden="false" customHeight="false" outlineLevel="0" collapsed="false">
      <c r="A313" s="11" t="s">
        <v>374</v>
      </c>
      <c r="B313" s="20" t="n">
        <v>45752</v>
      </c>
      <c r="C313" s="11" t="s">
        <v>18</v>
      </c>
      <c r="D313" s="11" t="s">
        <v>35</v>
      </c>
      <c r="E313" s="11" t="s">
        <v>56</v>
      </c>
      <c r="F313" s="11" t="s">
        <v>42</v>
      </c>
      <c r="G313" s="11" t="n">
        <v>1</v>
      </c>
      <c r="H313" s="21" t="n">
        <v>110</v>
      </c>
      <c r="I313" s="21" t="n">
        <v>62</v>
      </c>
      <c r="J313" s="22" t="n">
        <v>0.05</v>
      </c>
      <c r="K313" s="21" t="n">
        <f aca="false">G313*H313*(1-J313)</f>
        <v>104.5</v>
      </c>
      <c r="L313" s="21" t="n">
        <f aca="false">G313*I313</f>
        <v>62</v>
      </c>
      <c r="M313" s="21" t="n">
        <f aca="false">K313-L313</f>
        <v>42.5</v>
      </c>
      <c r="N313" s="11" t="str">
        <f aca="false">TEXT(B313,"mmm")</f>
        <v>Apr</v>
      </c>
    </row>
    <row r="314" customFormat="false" ht="15" hidden="false" customHeight="false" outlineLevel="0" collapsed="false">
      <c r="A314" s="11" t="s">
        <v>375</v>
      </c>
      <c r="B314" s="20" t="n">
        <v>45752</v>
      </c>
      <c r="C314" s="11" t="s">
        <v>18</v>
      </c>
      <c r="D314" s="11" t="s">
        <v>33</v>
      </c>
      <c r="E314" s="11" t="s">
        <v>51</v>
      </c>
      <c r="F314" s="11" t="s">
        <v>44</v>
      </c>
      <c r="G314" s="11" t="n">
        <v>1</v>
      </c>
      <c r="H314" s="21" t="n">
        <v>90</v>
      </c>
      <c r="I314" s="21" t="n">
        <v>58</v>
      </c>
      <c r="J314" s="22" t="n">
        <v>0.1</v>
      </c>
      <c r="K314" s="21" t="n">
        <f aca="false">G314*H314*(1-J314)</f>
        <v>81</v>
      </c>
      <c r="L314" s="21" t="n">
        <f aca="false">G314*I314</f>
        <v>58</v>
      </c>
      <c r="M314" s="21" t="n">
        <f aca="false">K314-L314</f>
        <v>23</v>
      </c>
      <c r="N314" s="11" t="str">
        <f aca="false">TEXT(B314,"mmm")</f>
        <v>Apr</v>
      </c>
    </row>
    <row r="315" customFormat="false" ht="15" hidden="false" customHeight="false" outlineLevel="0" collapsed="false">
      <c r="A315" s="11" t="s">
        <v>376</v>
      </c>
      <c r="B315" s="20" t="n">
        <v>45752</v>
      </c>
      <c r="C315" s="11" t="s">
        <v>18</v>
      </c>
      <c r="D315" s="11" t="s">
        <v>37</v>
      </c>
      <c r="E315" s="11" t="s">
        <v>52</v>
      </c>
      <c r="F315" s="11" t="s">
        <v>42</v>
      </c>
      <c r="G315" s="11" t="n">
        <v>30</v>
      </c>
      <c r="H315" s="21" t="n">
        <v>12</v>
      </c>
      <c r="I315" s="21" t="n">
        <v>6</v>
      </c>
      <c r="J315" s="22" t="n">
        <v>0.05</v>
      </c>
      <c r="K315" s="21" t="n">
        <f aca="false">G315*H315*(1-J315)</f>
        <v>342</v>
      </c>
      <c r="L315" s="21" t="n">
        <f aca="false">G315*I315</f>
        <v>180</v>
      </c>
      <c r="M315" s="21" t="n">
        <f aca="false">K315-L315</f>
        <v>162</v>
      </c>
      <c r="N315" s="11" t="str">
        <f aca="false">TEXT(B315,"mmm")</f>
        <v>Apr</v>
      </c>
    </row>
    <row r="316" customFormat="false" ht="15" hidden="false" customHeight="false" outlineLevel="0" collapsed="false">
      <c r="A316" s="11" t="s">
        <v>377</v>
      </c>
      <c r="B316" s="20" t="n">
        <v>45754</v>
      </c>
      <c r="C316" s="11" t="s">
        <v>18</v>
      </c>
      <c r="D316" s="11" t="s">
        <v>37</v>
      </c>
      <c r="E316" s="11" t="s">
        <v>53</v>
      </c>
      <c r="F316" s="11" t="s">
        <v>42</v>
      </c>
      <c r="G316" s="11" t="n">
        <v>40</v>
      </c>
      <c r="H316" s="21" t="n">
        <v>9</v>
      </c>
      <c r="I316" s="21" t="n">
        <v>4.5</v>
      </c>
      <c r="J316" s="22" t="n">
        <v>0.1</v>
      </c>
      <c r="K316" s="21" t="n">
        <f aca="false">G316*H316*(1-J316)</f>
        <v>324</v>
      </c>
      <c r="L316" s="21" t="n">
        <f aca="false">G316*I316</f>
        <v>180</v>
      </c>
      <c r="M316" s="21" t="n">
        <f aca="false">K316-L316</f>
        <v>144</v>
      </c>
      <c r="N316" s="11" t="str">
        <f aca="false">TEXT(B316,"mmm")</f>
        <v>Apr</v>
      </c>
    </row>
    <row r="317" customFormat="false" ht="15" hidden="false" customHeight="false" outlineLevel="0" collapsed="false">
      <c r="A317" s="11" t="s">
        <v>378</v>
      </c>
      <c r="B317" s="20" t="n">
        <v>45754</v>
      </c>
      <c r="C317" s="11" t="s">
        <v>18</v>
      </c>
      <c r="D317" s="11" t="s">
        <v>33</v>
      </c>
      <c r="E317" s="11" t="s">
        <v>51</v>
      </c>
      <c r="F317" s="11" t="s">
        <v>42</v>
      </c>
      <c r="G317" s="11" t="n">
        <v>5</v>
      </c>
      <c r="H317" s="21" t="n">
        <v>90</v>
      </c>
      <c r="I317" s="21" t="n">
        <v>58</v>
      </c>
      <c r="J317" s="22" t="n">
        <v>0</v>
      </c>
      <c r="K317" s="21" t="n">
        <f aca="false">G317*H317*(1-J317)</f>
        <v>450</v>
      </c>
      <c r="L317" s="21" t="n">
        <f aca="false">G317*I317</f>
        <v>290</v>
      </c>
      <c r="M317" s="21" t="n">
        <f aca="false">K317-L317</f>
        <v>160</v>
      </c>
      <c r="N317" s="11" t="str">
        <f aca="false">TEXT(B317,"mmm")</f>
        <v>Apr</v>
      </c>
    </row>
    <row r="318" customFormat="false" ht="15" hidden="false" customHeight="false" outlineLevel="0" collapsed="false">
      <c r="A318" s="11" t="s">
        <v>379</v>
      </c>
      <c r="B318" s="20" t="n">
        <v>45754</v>
      </c>
      <c r="C318" s="11" t="s">
        <v>20</v>
      </c>
      <c r="D318" s="11" t="s">
        <v>33</v>
      </c>
      <c r="E318" s="11" t="s">
        <v>51</v>
      </c>
      <c r="F318" s="11" t="s">
        <v>42</v>
      </c>
      <c r="G318" s="11" t="n">
        <v>4</v>
      </c>
      <c r="H318" s="21" t="n">
        <v>90</v>
      </c>
      <c r="I318" s="21" t="n">
        <v>58</v>
      </c>
      <c r="J318" s="22" t="n">
        <v>0.15</v>
      </c>
      <c r="K318" s="21" t="n">
        <f aca="false">G318*H318*(1-J318)</f>
        <v>306</v>
      </c>
      <c r="L318" s="21" t="n">
        <f aca="false">G318*I318</f>
        <v>232</v>
      </c>
      <c r="M318" s="21" t="n">
        <f aca="false">K318-L318</f>
        <v>74</v>
      </c>
      <c r="N318" s="11" t="str">
        <f aca="false">TEXT(B318,"mmm")</f>
        <v>Apr</v>
      </c>
    </row>
    <row r="319" customFormat="false" ht="15" hidden="false" customHeight="false" outlineLevel="0" collapsed="false">
      <c r="A319" s="11" t="s">
        <v>380</v>
      </c>
      <c r="B319" s="20" t="n">
        <v>45754</v>
      </c>
      <c r="C319" s="11" t="s">
        <v>24</v>
      </c>
      <c r="D319" s="11" t="s">
        <v>33</v>
      </c>
      <c r="E319" s="11" t="s">
        <v>51</v>
      </c>
      <c r="F319" s="11" t="s">
        <v>42</v>
      </c>
      <c r="G319" s="11" t="n">
        <v>2</v>
      </c>
      <c r="H319" s="21" t="n">
        <v>90</v>
      </c>
      <c r="I319" s="21" t="n">
        <v>58</v>
      </c>
      <c r="J319" s="22" t="n">
        <v>0.1</v>
      </c>
      <c r="K319" s="21" t="n">
        <f aca="false">G319*H319*(1-J319)</f>
        <v>162</v>
      </c>
      <c r="L319" s="21" t="n">
        <f aca="false">G319*I319</f>
        <v>116</v>
      </c>
      <c r="M319" s="21" t="n">
        <f aca="false">K319-L319</f>
        <v>46</v>
      </c>
      <c r="N319" s="11" t="str">
        <f aca="false">TEXT(B319,"mmm")</f>
        <v>Apr</v>
      </c>
    </row>
    <row r="320" customFormat="false" ht="15" hidden="false" customHeight="false" outlineLevel="0" collapsed="false">
      <c r="A320" s="11" t="s">
        <v>381</v>
      </c>
      <c r="B320" s="20" t="n">
        <v>45754</v>
      </c>
      <c r="C320" s="11" t="s">
        <v>24</v>
      </c>
      <c r="D320" s="11" t="s">
        <v>37</v>
      </c>
      <c r="E320" s="11" t="s">
        <v>52</v>
      </c>
      <c r="F320" s="11" t="s">
        <v>45</v>
      </c>
      <c r="G320" s="11" t="n">
        <v>54</v>
      </c>
      <c r="H320" s="21" t="n">
        <v>12</v>
      </c>
      <c r="I320" s="21" t="n">
        <v>6</v>
      </c>
      <c r="J320" s="22" t="n">
        <v>0.1</v>
      </c>
      <c r="K320" s="21" t="n">
        <f aca="false">G320*H320*(1-J320)</f>
        <v>583.2</v>
      </c>
      <c r="L320" s="21" t="n">
        <f aca="false">G320*I320</f>
        <v>324</v>
      </c>
      <c r="M320" s="21" t="n">
        <f aca="false">K320-L320</f>
        <v>259.2</v>
      </c>
      <c r="N320" s="11" t="str">
        <f aca="false">TEXT(B320,"mmm")</f>
        <v>Apr</v>
      </c>
    </row>
    <row r="321" customFormat="false" ht="15" hidden="false" customHeight="false" outlineLevel="0" collapsed="false">
      <c r="A321" s="11" t="s">
        <v>382</v>
      </c>
      <c r="B321" s="20" t="n">
        <v>45754</v>
      </c>
      <c r="C321" s="11" t="s">
        <v>20</v>
      </c>
      <c r="D321" s="11" t="s">
        <v>33</v>
      </c>
      <c r="E321" s="11" t="s">
        <v>48</v>
      </c>
      <c r="F321" s="11" t="s">
        <v>44</v>
      </c>
      <c r="G321" s="11" t="n">
        <v>4</v>
      </c>
      <c r="H321" s="21" t="n">
        <v>520</v>
      </c>
      <c r="I321" s="21" t="n">
        <v>415</v>
      </c>
      <c r="J321" s="22" t="n">
        <v>0</v>
      </c>
      <c r="K321" s="21" t="n">
        <f aca="false">G321*H321*(1-J321)</f>
        <v>2080</v>
      </c>
      <c r="L321" s="21" t="n">
        <f aca="false">G321*I321</f>
        <v>1660</v>
      </c>
      <c r="M321" s="21" t="n">
        <f aca="false">K321-L321</f>
        <v>420</v>
      </c>
      <c r="N321" s="11" t="str">
        <f aca="false">TEXT(B321,"mmm")</f>
        <v>Apr</v>
      </c>
    </row>
    <row r="322" customFormat="false" ht="15" hidden="false" customHeight="false" outlineLevel="0" collapsed="false">
      <c r="A322" s="11" t="s">
        <v>383</v>
      </c>
      <c r="B322" s="20" t="n">
        <v>45754</v>
      </c>
      <c r="C322" s="11" t="s">
        <v>24</v>
      </c>
      <c r="D322" s="11" t="s">
        <v>33</v>
      </c>
      <c r="E322" s="11" t="s">
        <v>50</v>
      </c>
      <c r="F322" s="11" t="s">
        <v>44</v>
      </c>
      <c r="G322" s="11" t="n">
        <v>2</v>
      </c>
      <c r="H322" s="21" t="n">
        <v>780</v>
      </c>
      <c r="I322" s="21" t="n">
        <v>600</v>
      </c>
      <c r="J322" s="22" t="n">
        <v>0</v>
      </c>
      <c r="K322" s="21" t="n">
        <f aca="false">G322*H322*(1-J322)</f>
        <v>1560</v>
      </c>
      <c r="L322" s="21" t="n">
        <f aca="false">G322*I322</f>
        <v>1200</v>
      </c>
      <c r="M322" s="21" t="n">
        <f aca="false">K322-L322</f>
        <v>360</v>
      </c>
      <c r="N322" s="11" t="str">
        <f aca="false">TEXT(B322,"mmm")</f>
        <v>Apr</v>
      </c>
    </row>
    <row r="323" customFormat="false" ht="15" hidden="false" customHeight="false" outlineLevel="0" collapsed="false">
      <c r="A323" s="11" t="s">
        <v>384</v>
      </c>
      <c r="B323" s="20" t="n">
        <v>45754</v>
      </c>
      <c r="C323" s="11" t="s">
        <v>22</v>
      </c>
      <c r="D323" s="11" t="s">
        <v>33</v>
      </c>
      <c r="E323" s="11" t="s">
        <v>51</v>
      </c>
      <c r="F323" s="11" t="s">
        <v>45</v>
      </c>
      <c r="G323" s="11" t="n">
        <v>12</v>
      </c>
      <c r="H323" s="21" t="n">
        <v>90</v>
      </c>
      <c r="I323" s="21" t="n">
        <v>58</v>
      </c>
      <c r="J323" s="22" t="n">
        <v>0.1</v>
      </c>
      <c r="K323" s="21" t="n">
        <f aca="false">G323*H323*(1-J323)</f>
        <v>972</v>
      </c>
      <c r="L323" s="21" t="n">
        <f aca="false">G323*I323</f>
        <v>696</v>
      </c>
      <c r="M323" s="21" t="n">
        <f aca="false">K323-L323</f>
        <v>276</v>
      </c>
      <c r="N323" s="11" t="str">
        <f aca="false">TEXT(B323,"mmm")</f>
        <v>Apr</v>
      </c>
    </row>
    <row r="324" customFormat="false" ht="15" hidden="false" customHeight="false" outlineLevel="0" collapsed="false">
      <c r="A324" s="11" t="s">
        <v>385</v>
      </c>
      <c r="B324" s="20" t="n">
        <v>45755</v>
      </c>
      <c r="C324" s="11" t="s">
        <v>22</v>
      </c>
      <c r="D324" s="11" t="s">
        <v>37</v>
      </c>
      <c r="E324" s="11" t="s">
        <v>49</v>
      </c>
      <c r="F324" s="11" t="s">
        <v>42</v>
      </c>
      <c r="G324" s="11" t="n">
        <v>27</v>
      </c>
      <c r="H324" s="21" t="n">
        <v>28</v>
      </c>
      <c r="I324" s="21" t="n">
        <v>17</v>
      </c>
      <c r="J324" s="22" t="n">
        <v>0.15</v>
      </c>
      <c r="K324" s="21" t="n">
        <f aca="false">G324*H324*(1-J324)</f>
        <v>642.6</v>
      </c>
      <c r="L324" s="21" t="n">
        <f aca="false">G324*I324</f>
        <v>459</v>
      </c>
      <c r="M324" s="21" t="n">
        <f aca="false">K324-L324</f>
        <v>183.6</v>
      </c>
      <c r="N324" s="11" t="str">
        <f aca="false">TEXT(B324,"mmm")</f>
        <v>Apr</v>
      </c>
    </row>
    <row r="325" customFormat="false" ht="15" hidden="false" customHeight="false" outlineLevel="0" collapsed="false">
      <c r="A325" s="11" t="s">
        <v>386</v>
      </c>
      <c r="B325" s="20" t="n">
        <v>45755</v>
      </c>
      <c r="C325" s="11" t="s">
        <v>22</v>
      </c>
      <c r="D325" s="11" t="s">
        <v>37</v>
      </c>
      <c r="E325" s="11" t="s">
        <v>52</v>
      </c>
      <c r="F325" s="11" t="s">
        <v>42</v>
      </c>
      <c r="G325" s="11" t="n">
        <v>1</v>
      </c>
      <c r="H325" s="21" t="n">
        <v>12</v>
      </c>
      <c r="I325" s="21" t="n">
        <v>6</v>
      </c>
      <c r="J325" s="22" t="n">
        <v>0</v>
      </c>
      <c r="K325" s="21" t="n">
        <f aca="false">G325*H325*(1-J325)</f>
        <v>12</v>
      </c>
      <c r="L325" s="21" t="n">
        <f aca="false">G325*I325</f>
        <v>6</v>
      </c>
      <c r="M325" s="21" t="n">
        <f aca="false">K325-L325</f>
        <v>6</v>
      </c>
      <c r="N325" s="11" t="str">
        <f aca="false">TEXT(B325,"mmm")</f>
        <v>Apr</v>
      </c>
    </row>
    <row r="326" customFormat="false" ht="15" hidden="false" customHeight="false" outlineLevel="0" collapsed="false">
      <c r="A326" s="11" t="s">
        <v>387</v>
      </c>
      <c r="B326" s="20" t="n">
        <v>45755</v>
      </c>
      <c r="C326" s="11" t="s">
        <v>20</v>
      </c>
      <c r="D326" s="11" t="s">
        <v>37</v>
      </c>
      <c r="E326" s="11" t="s">
        <v>49</v>
      </c>
      <c r="F326" s="11" t="s">
        <v>42</v>
      </c>
      <c r="G326" s="11" t="n">
        <v>15</v>
      </c>
      <c r="H326" s="21" t="n">
        <v>28</v>
      </c>
      <c r="I326" s="21" t="n">
        <v>17</v>
      </c>
      <c r="J326" s="22" t="n">
        <v>0.15</v>
      </c>
      <c r="K326" s="21" t="n">
        <f aca="false">G326*H326*(1-J326)</f>
        <v>357</v>
      </c>
      <c r="L326" s="21" t="n">
        <f aca="false">G326*I326</f>
        <v>255</v>
      </c>
      <c r="M326" s="21" t="n">
        <f aca="false">K326-L326</f>
        <v>102</v>
      </c>
      <c r="N326" s="11" t="str">
        <f aca="false">TEXT(B326,"mmm")</f>
        <v>Apr</v>
      </c>
    </row>
    <row r="327" customFormat="false" ht="15" hidden="false" customHeight="false" outlineLevel="0" collapsed="false">
      <c r="A327" s="11" t="s">
        <v>388</v>
      </c>
      <c r="B327" s="20" t="n">
        <v>45756</v>
      </c>
      <c r="C327" s="11" t="s">
        <v>24</v>
      </c>
      <c r="D327" s="11" t="s">
        <v>35</v>
      </c>
      <c r="E327" s="11" t="s">
        <v>55</v>
      </c>
      <c r="F327" s="11" t="s">
        <v>44</v>
      </c>
      <c r="G327" s="11" t="n">
        <v>4</v>
      </c>
      <c r="H327" s="21" t="n">
        <v>150</v>
      </c>
      <c r="I327" s="21" t="n">
        <v>82</v>
      </c>
      <c r="J327" s="22" t="n">
        <v>0</v>
      </c>
      <c r="K327" s="21" t="n">
        <f aca="false">G327*H327*(1-J327)</f>
        <v>600</v>
      </c>
      <c r="L327" s="21" t="n">
        <f aca="false">G327*I327</f>
        <v>328</v>
      </c>
      <c r="M327" s="21" t="n">
        <f aca="false">K327-L327</f>
        <v>272</v>
      </c>
      <c r="N327" s="11" t="str">
        <f aca="false">TEXT(B327,"mmm")</f>
        <v>Apr</v>
      </c>
    </row>
    <row r="328" customFormat="false" ht="15" hidden="false" customHeight="false" outlineLevel="0" collapsed="false">
      <c r="A328" s="11" t="s">
        <v>389</v>
      </c>
      <c r="B328" s="20" t="n">
        <v>45757</v>
      </c>
      <c r="C328" s="11" t="s">
        <v>24</v>
      </c>
      <c r="D328" s="11" t="s">
        <v>37</v>
      </c>
      <c r="E328" s="11" t="s">
        <v>53</v>
      </c>
      <c r="F328" s="11" t="s">
        <v>45</v>
      </c>
      <c r="G328" s="11" t="n">
        <v>75</v>
      </c>
      <c r="H328" s="21" t="n">
        <v>9</v>
      </c>
      <c r="I328" s="21" t="n">
        <v>4.5</v>
      </c>
      <c r="J328" s="22" t="n">
        <v>0.1</v>
      </c>
      <c r="K328" s="21" t="n">
        <f aca="false">G328*H328*(1-J328)</f>
        <v>607.5</v>
      </c>
      <c r="L328" s="21" t="n">
        <f aca="false">G328*I328</f>
        <v>337.5</v>
      </c>
      <c r="M328" s="21" t="n">
        <f aca="false">K328-L328</f>
        <v>270</v>
      </c>
      <c r="N328" s="11" t="str">
        <f aca="false">TEXT(B328,"mmm")</f>
        <v>Apr</v>
      </c>
    </row>
    <row r="329" customFormat="false" ht="15" hidden="false" customHeight="false" outlineLevel="0" collapsed="false">
      <c r="A329" s="11" t="s">
        <v>390</v>
      </c>
      <c r="B329" s="20" t="n">
        <v>45757</v>
      </c>
      <c r="C329" s="11" t="s">
        <v>24</v>
      </c>
      <c r="D329" s="11" t="s">
        <v>37</v>
      </c>
      <c r="E329" s="11" t="s">
        <v>52</v>
      </c>
      <c r="F329" s="11" t="s">
        <v>42</v>
      </c>
      <c r="G329" s="11" t="n">
        <v>18</v>
      </c>
      <c r="H329" s="21" t="n">
        <v>12</v>
      </c>
      <c r="I329" s="21" t="n">
        <v>6</v>
      </c>
      <c r="J329" s="22" t="n">
        <v>0.1</v>
      </c>
      <c r="K329" s="21" t="n">
        <f aca="false">G329*H329*(1-J329)</f>
        <v>194.4</v>
      </c>
      <c r="L329" s="21" t="n">
        <f aca="false">G329*I329</f>
        <v>108</v>
      </c>
      <c r="M329" s="21" t="n">
        <f aca="false">K329-L329</f>
        <v>86.4</v>
      </c>
      <c r="N329" s="11" t="str">
        <f aca="false">TEXT(B329,"mmm")</f>
        <v>Apr</v>
      </c>
    </row>
    <row r="330" customFormat="false" ht="15" hidden="false" customHeight="false" outlineLevel="0" collapsed="false">
      <c r="A330" s="11" t="s">
        <v>391</v>
      </c>
      <c r="B330" s="20" t="n">
        <v>45757</v>
      </c>
      <c r="C330" s="11" t="s">
        <v>20</v>
      </c>
      <c r="D330" s="11" t="s">
        <v>37</v>
      </c>
      <c r="E330" s="11" t="s">
        <v>49</v>
      </c>
      <c r="F330" s="11" t="s">
        <v>42</v>
      </c>
      <c r="G330" s="11" t="n">
        <v>11</v>
      </c>
      <c r="H330" s="21" t="n">
        <v>28</v>
      </c>
      <c r="I330" s="21" t="n">
        <v>17</v>
      </c>
      <c r="J330" s="22" t="n">
        <v>0</v>
      </c>
      <c r="K330" s="21" t="n">
        <f aca="false">G330*H330*(1-J330)</f>
        <v>308</v>
      </c>
      <c r="L330" s="21" t="n">
        <f aca="false">G330*I330</f>
        <v>187</v>
      </c>
      <c r="M330" s="21" t="n">
        <f aca="false">K330-L330</f>
        <v>121</v>
      </c>
      <c r="N330" s="11" t="str">
        <f aca="false">TEXT(B330,"mmm")</f>
        <v>Apr</v>
      </c>
    </row>
    <row r="331" customFormat="false" ht="15" hidden="false" customHeight="false" outlineLevel="0" collapsed="false">
      <c r="A331" s="11" t="s">
        <v>392</v>
      </c>
      <c r="B331" s="20" t="n">
        <v>45757</v>
      </c>
      <c r="C331" s="11" t="s">
        <v>18</v>
      </c>
      <c r="D331" s="11" t="s">
        <v>33</v>
      </c>
      <c r="E331" s="11" t="s">
        <v>51</v>
      </c>
      <c r="F331" s="11" t="s">
        <v>42</v>
      </c>
      <c r="G331" s="11" t="n">
        <v>5</v>
      </c>
      <c r="H331" s="21" t="n">
        <v>90</v>
      </c>
      <c r="I331" s="21" t="n">
        <v>58</v>
      </c>
      <c r="J331" s="22" t="n">
        <v>0.05</v>
      </c>
      <c r="K331" s="21" t="n">
        <f aca="false">G331*H331*(1-J331)</f>
        <v>427.5</v>
      </c>
      <c r="L331" s="21" t="n">
        <f aca="false">G331*I331</f>
        <v>290</v>
      </c>
      <c r="M331" s="21" t="n">
        <f aca="false">K331-L331</f>
        <v>137.5</v>
      </c>
      <c r="N331" s="11" t="str">
        <f aca="false">TEXT(B331,"mmm")</f>
        <v>Apr</v>
      </c>
    </row>
    <row r="332" customFormat="false" ht="15" hidden="false" customHeight="false" outlineLevel="0" collapsed="false">
      <c r="A332" s="11" t="s">
        <v>393</v>
      </c>
      <c r="B332" s="20" t="n">
        <v>45757</v>
      </c>
      <c r="C332" s="11" t="s">
        <v>18</v>
      </c>
      <c r="D332" s="11" t="s">
        <v>37</v>
      </c>
      <c r="E332" s="11" t="s">
        <v>52</v>
      </c>
      <c r="F332" s="11" t="s">
        <v>44</v>
      </c>
      <c r="G332" s="11" t="n">
        <v>9</v>
      </c>
      <c r="H332" s="21" t="n">
        <v>12</v>
      </c>
      <c r="I332" s="21" t="n">
        <v>6</v>
      </c>
      <c r="J332" s="22" t="n">
        <v>0.05</v>
      </c>
      <c r="K332" s="21" t="n">
        <f aca="false">G332*H332*(1-J332)</f>
        <v>102.6</v>
      </c>
      <c r="L332" s="21" t="n">
        <f aca="false">G332*I332</f>
        <v>54</v>
      </c>
      <c r="M332" s="21" t="n">
        <f aca="false">K332-L332</f>
        <v>48.6</v>
      </c>
      <c r="N332" s="11" t="str">
        <f aca="false">TEXT(B332,"mmm")</f>
        <v>Apr</v>
      </c>
    </row>
    <row r="333" customFormat="false" ht="15" hidden="false" customHeight="false" outlineLevel="0" collapsed="false">
      <c r="A333" s="11" t="s">
        <v>394</v>
      </c>
      <c r="B333" s="20" t="n">
        <v>45757</v>
      </c>
      <c r="C333" s="11" t="s">
        <v>20</v>
      </c>
      <c r="D333" s="11" t="s">
        <v>33</v>
      </c>
      <c r="E333" s="11" t="s">
        <v>48</v>
      </c>
      <c r="F333" s="11" t="s">
        <v>44</v>
      </c>
      <c r="G333" s="11" t="n">
        <v>1</v>
      </c>
      <c r="H333" s="21" t="n">
        <v>520</v>
      </c>
      <c r="I333" s="21" t="n">
        <v>415</v>
      </c>
      <c r="J333" s="22" t="n">
        <v>0.1</v>
      </c>
      <c r="K333" s="21" t="n">
        <f aca="false">G333*H333*(1-J333)</f>
        <v>468</v>
      </c>
      <c r="L333" s="21" t="n">
        <f aca="false">G333*I333</f>
        <v>415</v>
      </c>
      <c r="M333" s="21" t="n">
        <f aca="false">K333-L333</f>
        <v>53</v>
      </c>
      <c r="N333" s="11" t="str">
        <f aca="false">TEXT(B333,"mmm")</f>
        <v>Apr</v>
      </c>
    </row>
    <row r="334" customFormat="false" ht="15" hidden="false" customHeight="false" outlineLevel="0" collapsed="false">
      <c r="A334" s="11" t="s">
        <v>395</v>
      </c>
      <c r="B334" s="20" t="n">
        <v>45758</v>
      </c>
      <c r="C334" s="11" t="s">
        <v>24</v>
      </c>
      <c r="D334" s="11" t="s">
        <v>33</v>
      </c>
      <c r="E334" s="11" t="s">
        <v>51</v>
      </c>
      <c r="F334" s="11" t="s">
        <v>44</v>
      </c>
      <c r="G334" s="11" t="n">
        <v>1</v>
      </c>
      <c r="H334" s="21" t="n">
        <v>90</v>
      </c>
      <c r="I334" s="21" t="n">
        <v>58</v>
      </c>
      <c r="J334" s="22" t="n">
        <v>0.1</v>
      </c>
      <c r="K334" s="21" t="n">
        <f aca="false">G334*H334*(1-J334)</f>
        <v>81</v>
      </c>
      <c r="L334" s="21" t="n">
        <f aca="false">G334*I334</f>
        <v>58</v>
      </c>
      <c r="M334" s="21" t="n">
        <f aca="false">K334-L334</f>
        <v>23</v>
      </c>
      <c r="N334" s="11" t="str">
        <f aca="false">TEXT(B334,"mmm")</f>
        <v>Apr</v>
      </c>
    </row>
    <row r="335" customFormat="false" ht="15" hidden="false" customHeight="false" outlineLevel="0" collapsed="false">
      <c r="A335" s="11" t="s">
        <v>396</v>
      </c>
      <c r="B335" s="20" t="n">
        <v>45759</v>
      </c>
      <c r="C335" s="11" t="s">
        <v>22</v>
      </c>
      <c r="D335" s="11" t="s">
        <v>35</v>
      </c>
      <c r="E335" s="11" t="s">
        <v>55</v>
      </c>
      <c r="F335" s="11" t="s">
        <v>42</v>
      </c>
      <c r="G335" s="11" t="n">
        <v>2</v>
      </c>
      <c r="H335" s="21" t="n">
        <v>150</v>
      </c>
      <c r="I335" s="21" t="n">
        <v>82</v>
      </c>
      <c r="J335" s="22" t="n">
        <v>0.05</v>
      </c>
      <c r="K335" s="21" t="n">
        <f aca="false">G335*H335*(1-J335)</f>
        <v>285</v>
      </c>
      <c r="L335" s="21" t="n">
        <f aca="false">G335*I335</f>
        <v>164</v>
      </c>
      <c r="M335" s="21" t="n">
        <f aca="false">K335-L335</f>
        <v>121</v>
      </c>
      <c r="N335" s="11" t="str">
        <f aca="false">TEXT(B335,"mmm")</f>
        <v>Apr</v>
      </c>
    </row>
    <row r="336" customFormat="false" ht="15" hidden="false" customHeight="false" outlineLevel="0" collapsed="false">
      <c r="A336" s="11" t="s">
        <v>397</v>
      </c>
      <c r="B336" s="20" t="n">
        <v>45759</v>
      </c>
      <c r="C336" s="11" t="s">
        <v>22</v>
      </c>
      <c r="D336" s="11" t="s">
        <v>33</v>
      </c>
      <c r="E336" s="11" t="s">
        <v>48</v>
      </c>
      <c r="F336" s="11" t="s">
        <v>42</v>
      </c>
      <c r="G336" s="11" t="n">
        <v>3</v>
      </c>
      <c r="H336" s="21" t="n">
        <v>520</v>
      </c>
      <c r="I336" s="21" t="n">
        <v>415</v>
      </c>
      <c r="J336" s="22" t="n">
        <v>0</v>
      </c>
      <c r="K336" s="21" t="n">
        <f aca="false">G336*H336*(1-J336)</f>
        <v>1560</v>
      </c>
      <c r="L336" s="21" t="n">
        <f aca="false">G336*I336</f>
        <v>1245</v>
      </c>
      <c r="M336" s="21" t="n">
        <f aca="false">K336-L336</f>
        <v>315</v>
      </c>
      <c r="N336" s="11" t="str">
        <f aca="false">TEXT(B336,"mmm")</f>
        <v>Apr</v>
      </c>
    </row>
    <row r="337" customFormat="false" ht="15" hidden="false" customHeight="false" outlineLevel="0" collapsed="false">
      <c r="A337" s="11" t="s">
        <v>398</v>
      </c>
      <c r="B337" s="20" t="n">
        <v>45759</v>
      </c>
      <c r="C337" s="11" t="s">
        <v>18</v>
      </c>
      <c r="D337" s="11" t="s">
        <v>37</v>
      </c>
      <c r="E337" s="11" t="s">
        <v>53</v>
      </c>
      <c r="F337" s="11" t="s">
        <v>42</v>
      </c>
      <c r="G337" s="11" t="n">
        <v>8</v>
      </c>
      <c r="H337" s="21" t="n">
        <v>9</v>
      </c>
      <c r="I337" s="21" t="n">
        <v>4.5</v>
      </c>
      <c r="J337" s="22" t="n">
        <v>0</v>
      </c>
      <c r="K337" s="21" t="n">
        <f aca="false">G337*H337*(1-J337)</f>
        <v>72</v>
      </c>
      <c r="L337" s="21" t="n">
        <f aca="false">G337*I337</f>
        <v>36</v>
      </c>
      <c r="M337" s="21" t="n">
        <f aca="false">K337-L337</f>
        <v>36</v>
      </c>
      <c r="N337" s="11" t="str">
        <f aca="false">TEXT(B337,"mmm")</f>
        <v>Apr</v>
      </c>
    </row>
    <row r="338" customFormat="false" ht="15" hidden="false" customHeight="false" outlineLevel="0" collapsed="false">
      <c r="A338" s="11" t="s">
        <v>399</v>
      </c>
      <c r="B338" s="20" t="n">
        <v>45759</v>
      </c>
      <c r="C338" s="11" t="s">
        <v>20</v>
      </c>
      <c r="D338" s="11" t="s">
        <v>33</v>
      </c>
      <c r="E338" s="11" t="s">
        <v>51</v>
      </c>
      <c r="F338" s="11" t="s">
        <v>45</v>
      </c>
      <c r="G338" s="11" t="n">
        <v>3</v>
      </c>
      <c r="H338" s="21" t="n">
        <v>90</v>
      </c>
      <c r="I338" s="21" t="n">
        <v>58</v>
      </c>
      <c r="J338" s="22" t="n">
        <v>0.15</v>
      </c>
      <c r="K338" s="21" t="n">
        <f aca="false">G338*H338*(1-J338)</f>
        <v>229.5</v>
      </c>
      <c r="L338" s="21" t="n">
        <f aca="false">G338*I338</f>
        <v>174</v>
      </c>
      <c r="M338" s="21" t="n">
        <f aca="false">K338-L338</f>
        <v>55.5</v>
      </c>
      <c r="N338" s="11" t="str">
        <f aca="false">TEXT(B338,"mmm")</f>
        <v>Apr</v>
      </c>
    </row>
    <row r="339" customFormat="false" ht="15" hidden="false" customHeight="false" outlineLevel="0" collapsed="false">
      <c r="A339" s="11" t="s">
        <v>400</v>
      </c>
      <c r="B339" s="20" t="n">
        <v>45759</v>
      </c>
      <c r="C339" s="11" t="s">
        <v>18</v>
      </c>
      <c r="D339" s="11" t="s">
        <v>35</v>
      </c>
      <c r="E339" s="11" t="s">
        <v>55</v>
      </c>
      <c r="F339" s="11" t="s">
        <v>42</v>
      </c>
      <c r="G339" s="11" t="n">
        <v>2</v>
      </c>
      <c r="H339" s="21" t="n">
        <v>150</v>
      </c>
      <c r="I339" s="21" t="n">
        <v>82</v>
      </c>
      <c r="J339" s="22" t="n">
        <v>0</v>
      </c>
      <c r="K339" s="21" t="n">
        <f aca="false">G339*H339*(1-J339)</f>
        <v>300</v>
      </c>
      <c r="L339" s="21" t="n">
        <f aca="false">G339*I339</f>
        <v>164</v>
      </c>
      <c r="M339" s="21" t="n">
        <f aca="false">K339-L339</f>
        <v>136</v>
      </c>
      <c r="N339" s="11" t="str">
        <f aca="false">TEXT(B339,"mmm")</f>
        <v>Apr</v>
      </c>
    </row>
    <row r="340" customFormat="false" ht="15" hidden="false" customHeight="false" outlineLevel="0" collapsed="false">
      <c r="A340" s="11" t="s">
        <v>401</v>
      </c>
      <c r="B340" s="20" t="n">
        <v>45759</v>
      </c>
      <c r="C340" s="11" t="s">
        <v>20</v>
      </c>
      <c r="D340" s="11" t="s">
        <v>33</v>
      </c>
      <c r="E340" s="11" t="s">
        <v>50</v>
      </c>
      <c r="F340" s="11" t="s">
        <v>44</v>
      </c>
      <c r="G340" s="11" t="n">
        <v>1</v>
      </c>
      <c r="H340" s="21" t="n">
        <v>780</v>
      </c>
      <c r="I340" s="21" t="n">
        <v>600</v>
      </c>
      <c r="J340" s="22" t="n">
        <v>0.1</v>
      </c>
      <c r="K340" s="21" t="n">
        <f aca="false">G340*H340*(1-J340)</f>
        <v>702</v>
      </c>
      <c r="L340" s="21" t="n">
        <f aca="false">G340*I340</f>
        <v>600</v>
      </c>
      <c r="M340" s="21" t="n">
        <f aca="false">K340-L340</f>
        <v>102</v>
      </c>
      <c r="N340" s="11" t="str">
        <f aca="false">TEXT(B340,"mmm")</f>
        <v>Apr</v>
      </c>
    </row>
    <row r="341" customFormat="false" ht="15" hidden="false" customHeight="false" outlineLevel="0" collapsed="false">
      <c r="A341" s="11" t="s">
        <v>402</v>
      </c>
      <c r="B341" s="20" t="n">
        <v>45760</v>
      </c>
      <c r="C341" s="11" t="s">
        <v>22</v>
      </c>
      <c r="D341" s="11" t="s">
        <v>37</v>
      </c>
      <c r="E341" s="11" t="s">
        <v>49</v>
      </c>
      <c r="F341" s="11" t="s">
        <v>42</v>
      </c>
      <c r="G341" s="11" t="n">
        <v>26</v>
      </c>
      <c r="H341" s="21" t="n">
        <v>28</v>
      </c>
      <c r="I341" s="21" t="n">
        <v>17</v>
      </c>
      <c r="J341" s="22" t="n">
        <v>0</v>
      </c>
      <c r="K341" s="21" t="n">
        <f aca="false">G341*H341*(1-J341)</f>
        <v>728</v>
      </c>
      <c r="L341" s="21" t="n">
        <f aca="false">G341*I341</f>
        <v>442</v>
      </c>
      <c r="M341" s="21" t="n">
        <f aca="false">K341-L341</f>
        <v>286</v>
      </c>
      <c r="N341" s="11" t="str">
        <f aca="false">TEXT(B341,"mmm")</f>
        <v>Apr</v>
      </c>
    </row>
    <row r="342" customFormat="false" ht="15" hidden="false" customHeight="false" outlineLevel="0" collapsed="false">
      <c r="A342" s="11" t="s">
        <v>403</v>
      </c>
      <c r="B342" s="20" t="n">
        <v>45760</v>
      </c>
      <c r="C342" s="11" t="s">
        <v>18</v>
      </c>
      <c r="D342" s="11" t="s">
        <v>35</v>
      </c>
      <c r="E342" s="11" t="s">
        <v>56</v>
      </c>
      <c r="F342" s="11" t="s">
        <v>42</v>
      </c>
      <c r="G342" s="11" t="n">
        <v>3</v>
      </c>
      <c r="H342" s="21" t="n">
        <v>110</v>
      </c>
      <c r="I342" s="21" t="n">
        <v>62</v>
      </c>
      <c r="J342" s="22" t="n">
        <v>0.05</v>
      </c>
      <c r="K342" s="21" t="n">
        <f aca="false">G342*H342*(1-J342)</f>
        <v>313.5</v>
      </c>
      <c r="L342" s="21" t="n">
        <f aca="false">G342*I342</f>
        <v>186</v>
      </c>
      <c r="M342" s="21" t="n">
        <f aca="false">K342-L342</f>
        <v>127.5</v>
      </c>
      <c r="N342" s="11" t="str">
        <f aca="false">TEXT(B342,"mmm")</f>
        <v>Apr</v>
      </c>
    </row>
    <row r="343" customFormat="false" ht="15" hidden="false" customHeight="false" outlineLevel="0" collapsed="false">
      <c r="A343" s="11" t="s">
        <v>404</v>
      </c>
      <c r="B343" s="20" t="n">
        <v>45761</v>
      </c>
      <c r="C343" s="11" t="s">
        <v>24</v>
      </c>
      <c r="D343" s="11" t="s">
        <v>37</v>
      </c>
      <c r="E343" s="11" t="s">
        <v>53</v>
      </c>
      <c r="F343" s="11" t="s">
        <v>45</v>
      </c>
      <c r="G343" s="11" t="n">
        <v>30</v>
      </c>
      <c r="H343" s="21" t="n">
        <v>9</v>
      </c>
      <c r="I343" s="21" t="n">
        <v>4.5</v>
      </c>
      <c r="J343" s="22" t="n">
        <v>0.15</v>
      </c>
      <c r="K343" s="21" t="n">
        <f aca="false">G343*H343*(1-J343)</f>
        <v>229.5</v>
      </c>
      <c r="L343" s="21" t="n">
        <f aca="false">G343*I343</f>
        <v>135</v>
      </c>
      <c r="M343" s="21" t="n">
        <f aca="false">K343-L343</f>
        <v>94.5</v>
      </c>
      <c r="N343" s="11" t="str">
        <f aca="false">TEXT(B343,"mmm")</f>
        <v>Apr</v>
      </c>
    </row>
    <row r="344" customFormat="false" ht="15" hidden="false" customHeight="false" outlineLevel="0" collapsed="false">
      <c r="A344" s="11" t="s">
        <v>405</v>
      </c>
      <c r="B344" s="20" t="n">
        <v>45762</v>
      </c>
      <c r="C344" s="11" t="s">
        <v>24</v>
      </c>
      <c r="D344" s="11" t="s">
        <v>35</v>
      </c>
      <c r="E344" s="11" t="s">
        <v>54</v>
      </c>
      <c r="F344" s="11" t="s">
        <v>45</v>
      </c>
      <c r="G344" s="11" t="n">
        <v>2</v>
      </c>
      <c r="H344" s="21" t="n">
        <v>320</v>
      </c>
      <c r="I344" s="21" t="n">
        <v>185</v>
      </c>
      <c r="J344" s="22" t="n">
        <v>0.15</v>
      </c>
      <c r="K344" s="21" t="n">
        <f aca="false">G344*H344*(1-J344)</f>
        <v>544</v>
      </c>
      <c r="L344" s="21" t="n">
        <f aca="false">G344*I344</f>
        <v>370</v>
      </c>
      <c r="M344" s="21" t="n">
        <f aca="false">K344-L344</f>
        <v>174</v>
      </c>
      <c r="N344" s="11" t="str">
        <f aca="false">TEXT(B344,"mmm")</f>
        <v>Apr</v>
      </c>
    </row>
    <row r="345" customFormat="false" ht="15" hidden="false" customHeight="false" outlineLevel="0" collapsed="false">
      <c r="A345" s="11" t="s">
        <v>406</v>
      </c>
      <c r="B345" s="20" t="n">
        <v>45762</v>
      </c>
      <c r="C345" s="11" t="s">
        <v>18</v>
      </c>
      <c r="D345" s="11" t="s">
        <v>33</v>
      </c>
      <c r="E345" s="11" t="s">
        <v>51</v>
      </c>
      <c r="F345" s="11" t="s">
        <v>42</v>
      </c>
      <c r="G345" s="11" t="n">
        <v>3</v>
      </c>
      <c r="H345" s="21" t="n">
        <v>90</v>
      </c>
      <c r="I345" s="21" t="n">
        <v>58</v>
      </c>
      <c r="J345" s="22" t="n">
        <v>0.1</v>
      </c>
      <c r="K345" s="21" t="n">
        <f aca="false">G345*H345*(1-J345)</f>
        <v>243</v>
      </c>
      <c r="L345" s="21" t="n">
        <f aca="false">G345*I345</f>
        <v>174</v>
      </c>
      <c r="M345" s="21" t="n">
        <f aca="false">K345-L345</f>
        <v>69</v>
      </c>
      <c r="N345" s="11" t="str">
        <f aca="false">TEXT(B345,"mmm")</f>
        <v>Apr</v>
      </c>
    </row>
    <row r="346" customFormat="false" ht="15" hidden="false" customHeight="false" outlineLevel="0" collapsed="false">
      <c r="A346" s="11" t="s">
        <v>407</v>
      </c>
      <c r="B346" s="20" t="n">
        <v>45762</v>
      </c>
      <c r="C346" s="11" t="s">
        <v>20</v>
      </c>
      <c r="D346" s="11" t="s">
        <v>33</v>
      </c>
      <c r="E346" s="11" t="s">
        <v>48</v>
      </c>
      <c r="F346" s="11" t="s">
        <v>44</v>
      </c>
      <c r="G346" s="11" t="n">
        <v>4</v>
      </c>
      <c r="H346" s="21" t="n">
        <v>520</v>
      </c>
      <c r="I346" s="21" t="n">
        <v>415</v>
      </c>
      <c r="J346" s="22" t="n">
        <v>0</v>
      </c>
      <c r="K346" s="21" t="n">
        <f aca="false">G346*H346*(1-J346)</f>
        <v>2080</v>
      </c>
      <c r="L346" s="21" t="n">
        <f aca="false">G346*I346</f>
        <v>1660</v>
      </c>
      <c r="M346" s="21" t="n">
        <f aca="false">K346-L346</f>
        <v>420</v>
      </c>
      <c r="N346" s="11" t="str">
        <f aca="false">TEXT(B346,"mmm")</f>
        <v>Apr</v>
      </c>
    </row>
    <row r="347" customFormat="false" ht="15" hidden="false" customHeight="false" outlineLevel="0" collapsed="false">
      <c r="A347" s="11" t="s">
        <v>408</v>
      </c>
      <c r="B347" s="20" t="n">
        <v>45762</v>
      </c>
      <c r="C347" s="11" t="s">
        <v>22</v>
      </c>
      <c r="D347" s="11" t="s">
        <v>33</v>
      </c>
      <c r="E347" s="11" t="s">
        <v>51</v>
      </c>
      <c r="F347" s="11" t="s">
        <v>42</v>
      </c>
      <c r="G347" s="11" t="n">
        <v>6</v>
      </c>
      <c r="H347" s="21" t="n">
        <v>90</v>
      </c>
      <c r="I347" s="21" t="n">
        <v>58</v>
      </c>
      <c r="J347" s="22" t="n">
        <v>0.15</v>
      </c>
      <c r="K347" s="21" t="n">
        <f aca="false">G347*H347*(1-J347)</f>
        <v>459</v>
      </c>
      <c r="L347" s="21" t="n">
        <f aca="false">G347*I347</f>
        <v>348</v>
      </c>
      <c r="M347" s="21" t="n">
        <f aca="false">K347-L347</f>
        <v>111</v>
      </c>
      <c r="N347" s="11" t="str">
        <f aca="false">TEXT(B347,"mmm")</f>
        <v>Apr</v>
      </c>
    </row>
    <row r="348" customFormat="false" ht="15" hidden="false" customHeight="false" outlineLevel="0" collapsed="false">
      <c r="A348" s="11" t="s">
        <v>409</v>
      </c>
      <c r="B348" s="20" t="n">
        <v>45762</v>
      </c>
      <c r="C348" s="11" t="s">
        <v>18</v>
      </c>
      <c r="D348" s="11" t="s">
        <v>37</v>
      </c>
      <c r="E348" s="11" t="s">
        <v>49</v>
      </c>
      <c r="F348" s="11" t="s">
        <v>45</v>
      </c>
      <c r="G348" s="11" t="n">
        <v>102</v>
      </c>
      <c r="H348" s="21" t="n">
        <v>28</v>
      </c>
      <c r="I348" s="21" t="n">
        <v>17</v>
      </c>
      <c r="J348" s="22" t="n">
        <v>0.2</v>
      </c>
      <c r="K348" s="21" t="n">
        <f aca="false">G348*H348*(1-J348)</f>
        <v>2284.8</v>
      </c>
      <c r="L348" s="21" t="n">
        <f aca="false">G348*I348</f>
        <v>1734</v>
      </c>
      <c r="M348" s="21" t="n">
        <f aca="false">K348-L348</f>
        <v>550.8</v>
      </c>
      <c r="N348" s="11" t="str">
        <f aca="false">TEXT(B348,"mmm")</f>
        <v>Apr</v>
      </c>
    </row>
    <row r="349" customFormat="false" ht="15" hidden="false" customHeight="false" outlineLevel="0" collapsed="false">
      <c r="A349" s="11" t="s">
        <v>410</v>
      </c>
      <c r="B349" s="20" t="n">
        <v>45763</v>
      </c>
      <c r="C349" s="11" t="s">
        <v>22</v>
      </c>
      <c r="D349" s="11" t="s">
        <v>33</v>
      </c>
      <c r="E349" s="11" t="s">
        <v>48</v>
      </c>
      <c r="F349" s="11" t="s">
        <v>42</v>
      </c>
      <c r="G349" s="11" t="n">
        <v>4</v>
      </c>
      <c r="H349" s="21" t="n">
        <v>520</v>
      </c>
      <c r="I349" s="21" t="n">
        <v>415</v>
      </c>
      <c r="J349" s="22" t="n">
        <v>0.05</v>
      </c>
      <c r="K349" s="21" t="n">
        <f aca="false">G349*H349*(1-J349)</f>
        <v>1976</v>
      </c>
      <c r="L349" s="21" t="n">
        <f aca="false">G349*I349</f>
        <v>1660</v>
      </c>
      <c r="M349" s="21" t="n">
        <f aca="false">K349-L349</f>
        <v>316</v>
      </c>
      <c r="N349" s="11" t="str">
        <f aca="false">TEXT(B349,"mmm")</f>
        <v>Apr</v>
      </c>
    </row>
    <row r="350" customFormat="false" ht="15" hidden="false" customHeight="false" outlineLevel="0" collapsed="false">
      <c r="A350" s="11" t="s">
        <v>411</v>
      </c>
      <c r="B350" s="20" t="n">
        <v>45763</v>
      </c>
      <c r="C350" s="11" t="s">
        <v>22</v>
      </c>
      <c r="D350" s="11" t="s">
        <v>35</v>
      </c>
      <c r="E350" s="11" t="s">
        <v>54</v>
      </c>
      <c r="F350" s="11" t="s">
        <v>42</v>
      </c>
      <c r="G350" s="11" t="n">
        <v>1</v>
      </c>
      <c r="H350" s="21" t="n">
        <v>320</v>
      </c>
      <c r="I350" s="21" t="n">
        <v>185</v>
      </c>
      <c r="J350" s="22" t="n">
        <v>0.15</v>
      </c>
      <c r="K350" s="21" t="n">
        <f aca="false">G350*H350*(1-J350)</f>
        <v>272</v>
      </c>
      <c r="L350" s="21" t="n">
        <f aca="false">G350*I350</f>
        <v>185</v>
      </c>
      <c r="M350" s="21" t="n">
        <f aca="false">K350-L350</f>
        <v>87</v>
      </c>
      <c r="N350" s="11" t="str">
        <f aca="false">TEXT(B350,"mmm")</f>
        <v>Apr</v>
      </c>
    </row>
    <row r="351" customFormat="false" ht="15" hidden="false" customHeight="false" outlineLevel="0" collapsed="false">
      <c r="A351" s="11" t="s">
        <v>412</v>
      </c>
      <c r="B351" s="20" t="n">
        <v>45763</v>
      </c>
      <c r="C351" s="11" t="s">
        <v>20</v>
      </c>
      <c r="D351" s="11" t="s">
        <v>33</v>
      </c>
      <c r="E351" s="11" t="s">
        <v>48</v>
      </c>
      <c r="F351" s="11" t="s">
        <v>44</v>
      </c>
      <c r="G351" s="11" t="n">
        <v>3</v>
      </c>
      <c r="H351" s="21" t="n">
        <v>520</v>
      </c>
      <c r="I351" s="21" t="n">
        <v>415</v>
      </c>
      <c r="J351" s="22" t="n">
        <v>0</v>
      </c>
      <c r="K351" s="21" t="n">
        <f aca="false">G351*H351*(1-J351)</f>
        <v>1560</v>
      </c>
      <c r="L351" s="21" t="n">
        <f aca="false">G351*I351</f>
        <v>1245</v>
      </c>
      <c r="M351" s="21" t="n">
        <f aca="false">K351-L351</f>
        <v>315</v>
      </c>
      <c r="N351" s="11" t="str">
        <f aca="false">TEXT(B351,"mmm")</f>
        <v>Apr</v>
      </c>
    </row>
    <row r="352" customFormat="false" ht="15" hidden="false" customHeight="false" outlineLevel="0" collapsed="false">
      <c r="A352" s="11" t="s">
        <v>413</v>
      </c>
      <c r="B352" s="20" t="n">
        <v>45763</v>
      </c>
      <c r="C352" s="11" t="s">
        <v>20</v>
      </c>
      <c r="D352" s="11" t="s">
        <v>33</v>
      </c>
      <c r="E352" s="11" t="s">
        <v>48</v>
      </c>
      <c r="F352" s="11" t="s">
        <v>44</v>
      </c>
      <c r="G352" s="11" t="n">
        <v>4</v>
      </c>
      <c r="H352" s="21" t="n">
        <v>520</v>
      </c>
      <c r="I352" s="21" t="n">
        <v>415</v>
      </c>
      <c r="J352" s="22" t="n">
        <v>0.1</v>
      </c>
      <c r="K352" s="21" t="n">
        <f aca="false">G352*H352*(1-J352)</f>
        <v>1872</v>
      </c>
      <c r="L352" s="21" t="n">
        <f aca="false">G352*I352</f>
        <v>1660</v>
      </c>
      <c r="M352" s="21" t="n">
        <f aca="false">K352-L352</f>
        <v>212</v>
      </c>
      <c r="N352" s="11" t="str">
        <f aca="false">TEXT(B352,"mmm")</f>
        <v>Apr</v>
      </c>
    </row>
    <row r="353" customFormat="false" ht="15" hidden="false" customHeight="false" outlineLevel="0" collapsed="false">
      <c r="A353" s="11" t="s">
        <v>414</v>
      </c>
      <c r="B353" s="20" t="n">
        <v>45763</v>
      </c>
      <c r="C353" s="11" t="s">
        <v>20</v>
      </c>
      <c r="D353" s="11" t="s">
        <v>33</v>
      </c>
      <c r="E353" s="11" t="s">
        <v>48</v>
      </c>
      <c r="F353" s="11" t="s">
        <v>42</v>
      </c>
      <c r="G353" s="11" t="n">
        <v>1</v>
      </c>
      <c r="H353" s="21" t="n">
        <v>520</v>
      </c>
      <c r="I353" s="21" t="n">
        <v>415</v>
      </c>
      <c r="J353" s="22" t="n">
        <v>0.1</v>
      </c>
      <c r="K353" s="21" t="n">
        <f aca="false">G353*H353*(1-J353)</f>
        <v>468</v>
      </c>
      <c r="L353" s="21" t="n">
        <f aca="false">G353*I353</f>
        <v>415</v>
      </c>
      <c r="M353" s="21" t="n">
        <f aca="false">K353-L353</f>
        <v>53</v>
      </c>
      <c r="N353" s="11" t="str">
        <f aca="false">TEXT(B353,"mmm")</f>
        <v>Apr</v>
      </c>
    </row>
    <row r="354" customFormat="false" ht="15" hidden="false" customHeight="false" outlineLevel="0" collapsed="false">
      <c r="A354" s="11" t="s">
        <v>415</v>
      </c>
      <c r="B354" s="20" t="n">
        <v>45764</v>
      </c>
      <c r="C354" s="11" t="s">
        <v>20</v>
      </c>
      <c r="D354" s="11" t="s">
        <v>37</v>
      </c>
      <c r="E354" s="11" t="s">
        <v>49</v>
      </c>
      <c r="F354" s="11" t="s">
        <v>42</v>
      </c>
      <c r="G354" s="11" t="n">
        <v>9</v>
      </c>
      <c r="H354" s="21" t="n">
        <v>28</v>
      </c>
      <c r="I354" s="21" t="n">
        <v>17</v>
      </c>
      <c r="J354" s="22" t="n">
        <v>0.05</v>
      </c>
      <c r="K354" s="21" t="n">
        <f aca="false">G354*H354*(1-J354)</f>
        <v>239.4</v>
      </c>
      <c r="L354" s="21" t="n">
        <f aca="false">G354*I354</f>
        <v>153</v>
      </c>
      <c r="M354" s="21" t="n">
        <f aca="false">K354-L354</f>
        <v>86.4</v>
      </c>
      <c r="N354" s="11" t="str">
        <f aca="false">TEXT(B354,"mmm")</f>
        <v>Apr</v>
      </c>
    </row>
    <row r="355" customFormat="false" ht="15" hidden="false" customHeight="false" outlineLevel="0" collapsed="false">
      <c r="A355" s="11" t="s">
        <v>416</v>
      </c>
      <c r="B355" s="20" t="n">
        <v>45764</v>
      </c>
      <c r="C355" s="11" t="s">
        <v>20</v>
      </c>
      <c r="D355" s="11" t="s">
        <v>35</v>
      </c>
      <c r="E355" s="11" t="s">
        <v>56</v>
      </c>
      <c r="F355" s="11" t="s">
        <v>42</v>
      </c>
      <c r="G355" s="11" t="n">
        <v>1</v>
      </c>
      <c r="H355" s="21" t="n">
        <v>110</v>
      </c>
      <c r="I355" s="21" t="n">
        <v>62</v>
      </c>
      <c r="J355" s="22" t="n">
        <v>0.05</v>
      </c>
      <c r="K355" s="21" t="n">
        <f aca="false">G355*H355*(1-J355)</f>
        <v>104.5</v>
      </c>
      <c r="L355" s="21" t="n">
        <f aca="false">G355*I355</f>
        <v>62</v>
      </c>
      <c r="M355" s="21" t="n">
        <f aca="false">K355-L355</f>
        <v>42.5</v>
      </c>
      <c r="N355" s="11" t="str">
        <f aca="false">TEXT(B355,"mmm")</f>
        <v>Apr</v>
      </c>
    </row>
    <row r="356" customFormat="false" ht="15" hidden="false" customHeight="false" outlineLevel="0" collapsed="false">
      <c r="A356" s="11" t="s">
        <v>417</v>
      </c>
      <c r="B356" s="20" t="n">
        <v>45765</v>
      </c>
      <c r="C356" s="11" t="s">
        <v>20</v>
      </c>
      <c r="D356" s="11" t="s">
        <v>35</v>
      </c>
      <c r="E356" s="11" t="s">
        <v>55</v>
      </c>
      <c r="F356" s="11" t="s">
        <v>42</v>
      </c>
      <c r="G356" s="11" t="n">
        <v>1</v>
      </c>
      <c r="H356" s="21" t="n">
        <v>150</v>
      </c>
      <c r="I356" s="21" t="n">
        <v>82</v>
      </c>
      <c r="J356" s="22" t="n">
        <v>0.05</v>
      </c>
      <c r="K356" s="21" t="n">
        <f aca="false">G356*H356*(1-J356)</f>
        <v>142.5</v>
      </c>
      <c r="L356" s="21" t="n">
        <f aca="false">G356*I356</f>
        <v>82</v>
      </c>
      <c r="M356" s="21" t="n">
        <f aca="false">K356-L356</f>
        <v>60.5</v>
      </c>
      <c r="N356" s="11" t="str">
        <f aca="false">TEXT(B356,"mmm")</f>
        <v>Apr</v>
      </c>
    </row>
    <row r="357" customFormat="false" ht="15" hidden="false" customHeight="false" outlineLevel="0" collapsed="false">
      <c r="A357" s="11" t="s">
        <v>418</v>
      </c>
      <c r="B357" s="20" t="n">
        <v>45765</v>
      </c>
      <c r="C357" s="11" t="s">
        <v>18</v>
      </c>
      <c r="D357" s="11" t="s">
        <v>37</v>
      </c>
      <c r="E357" s="11" t="s">
        <v>53</v>
      </c>
      <c r="F357" s="11" t="s">
        <v>42</v>
      </c>
      <c r="G357" s="11" t="n">
        <v>22</v>
      </c>
      <c r="H357" s="21" t="n">
        <v>9</v>
      </c>
      <c r="I357" s="21" t="n">
        <v>4.5</v>
      </c>
      <c r="J357" s="22" t="n">
        <v>0.05</v>
      </c>
      <c r="K357" s="21" t="n">
        <f aca="false">G357*H357*(1-J357)</f>
        <v>188.1</v>
      </c>
      <c r="L357" s="21" t="n">
        <f aca="false">G357*I357</f>
        <v>99</v>
      </c>
      <c r="M357" s="21" t="n">
        <f aca="false">K357-L357</f>
        <v>89.1</v>
      </c>
      <c r="N357" s="11" t="str">
        <f aca="false">TEXT(B357,"mmm")</f>
        <v>Apr</v>
      </c>
    </row>
    <row r="358" customFormat="false" ht="15" hidden="false" customHeight="false" outlineLevel="0" collapsed="false">
      <c r="A358" s="11" t="s">
        <v>419</v>
      </c>
      <c r="B358" s="20" t="n">
        <v>45765</v>
      </c>
      <c r="C358" s="11" t="s">
        <v>18</v>
      </c>
      <c r="D358" s="11" t="s">
        <v>37</v>
      </c>
      <c r="E358" s="11" t="s">
        <v>53</v>
      </c>
      <c r="F358" s="11" t="s">
        <v>44</v>
      </c>
      <c r="G358" s="11" t="n">
        <v>17</v>
      </c>
      <c r="H358" s="21" t="n">
        <v>9</v>
      </c>
      <c r="I358" s="21" t="n">
        <v>4.5</v>
      </c>
      <c r="J358" s="22" t="n">
        <v>0</v>
      </c>
      <c r="K358" s="21" t="n">
        <f aca="false">G358*H358*(1-J358)</f>
        <v>153</v>
      </c>
      <c r="L358" s="21" t="n">
        <f aca="false">G358*I358</f>
        <v>76.5</v>
      </c>
      <c r="M358" s="21" t="n">
        <f aca="false">K358-L358</f>
        <v>76.5</v>
      </c>
      <c r="N358" s="11" t="str">
        <f aca="false">TEXT(B358,"mmm")</f>
        <v>Apr</v>
      </c>
    </row>
    <row r="359" customFormat="false" ht="15" hidden="false" customHeight="false" outlineLevel="0" collapsed="false">
      <c r="A359" s="11" t="s">
        <v>420</v>
      </c>
      <c r="B359" s="20" t="n">
        <v>45765</v>
      </c>
      <c r="C359" s="11" t="s">
        <v>20</v>
      </c>
      <c r="D359" s="11" t="s">
        <v>37</v>
      </c>
      <c r="E359" s="11" t="s">
        <v>49</v>
      </c>
      <c r="F359" s="11" t="s">
        <v>44</v>
      </c>
      <c r="G359" s="11" t="n">
        <v>34</v>
      </c>
      <c r="H359" s="21" t="n">
        <v>28</v>
      </c>
      <c r="I359" s="21" t="n">
        <v>17</v>
      </c>
      <c r="J359" s="22" t="n">
        <v>0.05</v>
      </c>
      <c r="K359" s="21" t="n">
        <f aca="false">G359*H359*(1-J359)</f>
        <v>904.4</v>
      </c>
      <c r="L359" s="21" t="n">
        <f aca="false">G359*I359</f>
        <v>578</v>
      </c>
      <c r="M359" s="21" t="n">
        <f aca="false">K359-L359</f>
        <v>326.4</v>
      </c>
      <c r="N359" s="11" t="str">
        <f aca="false">TEXT(B359,"mmm")</f>
        <v>Apr</v>
      </c>
    </row>
    <row r="360" customFormat="false" ht="15" hidden="false" customHeight="false" outlineLevel="0" collapsed="false">
      <c r="A360" s="11" t="s">
        <v>421</v>
      </c>
      <c r="B360" s="20" t="n">
        <v>45765</v>
      </c>
      <c r="C360" s="11" t="s">
        <v>22</v>
      </c>
      <c r="D360" s="11" t="s">
        <v>35</v>
      </c>
      <c r="E360" s="11" t="s">
        <v>54</v>
      </c>
      <c r="F360" s="11" t="s">
        <v>44</v>
      </c>
      <c r="G360" s="11" t="n">
        <v>1</v>
      </c>
      <c r="H360" s="21" t="n">
        <v>320</v>
      </c>
      <c r="I360" s="21" t="n">
        <v>185</v>
      </c>
      <c r="J360" s="22" t="n">
        <v>0</v>
      </c>
      <c r="K360" s="21" t="n">
        <f aca="false">G360*H360*(1-J360)</f>
        <v>320</v>
      </c>
      <c r="L360" s="21" t="n">
        <f aca="false">G360*I360</f>
        <v>185</v>
      </c>
      <c r="M360" s="21" t="n">
        <f aca="false">K360-L360</f>
        <v>135</v>
      </c>
      <c r="N360" s="11" t="str">
        <f aca="false">TEXT(B360,"mmm")</f>
        <v>Apr</v>
      </c>
    </row>
    <row r="361" customFormat="false" ht="15" hidden="false" customHeight="false" outlineLevel="0" collapsed="false">
      <c r="A361" s="11" t="s">
        <v>422</v>
      </c>
      <c r="B361" s="20" t="n">
        <v>45765</v>
      </c>
      <c r="C361" s="11" t="s">
        <v>22</v>
      </c>
      <c r="D361" s="11" t="s">
        <v>37</v>
      </c>
      <c r="E361" s="11" t="s">
        <v>49</v>
      </c>
      <c r="F361" s="11" t="s">
        <v>42</v>
      </c>
      <c r="G361" s="11" t="n">
        <v>29</v>
      </c>
      <c r="H361" s="21" t="n">
        <v>28</v>
      </c>
      <c r="I361" s="21" t="n">
        <v>17</v>
      </c>
      <c r="J361" s="22" t="n">
        <v>0</v>
      </c>
      <c r="K361" s="21" t="n">
        <f aca="false">G361*H361*(1-J361)</f>
        <v>812</v>
      </c>
      <c r="L361" s="21" t="n">
        <f aca="false">G361*I361</f>
        <v>493</v>
      </c>
      <c r="M361" s="21" t="n">
        <f aca="false">K361-L361</f>
        <v>319</v>
      </c>
      <c r="N361" s="11" t="str">
        <f aca="false">TEXT(B361,"mmm")</f>
        <v>Apr</v>
      </c>
    </row>
    <row r="362" customFormat="false" ht="15" hidden="false" customHeight="false" outlineLevel="0" collapsed="false">
      <c r="A362" s="11" t="s">
        <v>423</v>
      </c>
      <c r="B362" s="20" t="n">
        <v>45766</v>
      </c>
      <c r="C362" s="11" t="s">
        <v>18</v>
      </c>
      <c r="D362" s="11" t="s">
        <v>37</v>
      </c>
      <c r="E362" s="11" t="s">
        <v>52</v>
      </c>
      <c r="F362" s="11" t="s">
        <v>45</v>
      </c>
      <c r="G362" s="11" t="n">
        <v>39</v>
      </c>
      <c r="H362" s="21" t="n">
        <v>12</v>
      </c>
      <c r="I362" s="21" t="n">
        <v>6</v>
      </c>
      <c r="J362" s="22" t="n">
        <v>0.15</v>
      </c>
      <c r="K362" s="21" t="n">
        <f aca="false">G362*H362*(1-J362)</f>
        <v>397.8</v>
      </c>
      <c r="L362" s="21" t="n">
        <f aca="false">G362*I362</f>
        <v>234</v>
      </c>
      <c r="M362" s="21" t="n">
        <f aca="false">K362-L362</f>
        <v>163.8</v>
      </c>
      <c r="N362" s="11" t="str">
        <f aca="false">TEXT(B362,"mmm")</f>
        <v>Apr</v>
      </c>
    </row>
    <row r="363" customFormat="false" ht="15" hidden="false" customHeight="false" outlineLevel="0" collapsed="false">
      <c r="A363" s="11" t="s">
        <v>424</v>
      </c>
      <c r="B363" s="20" t="n">
        <v>45766</v>
      </c>
      <c r="C363" s="11" t="s">
        <v>18</v>
      </c>
      <c r="D363" s="11" t="s">
        <v>35</v>
      </c>
      <c r="E363" s="11" t="s">
        <v>54</v>
      </c>
      <c r="F363" s="11" t="s">
        <v>44</v>
      </c>
      <c r="G363" s="11" t="n">
        <v>3</v>
      </c>
      <c r="H363" s="21" t="n">
        <v>320</v>
      </c>
      <c r="I363" s="21" t="n">
        <v>185</v>
      </c>
      <c r="J363" s="22" t="n">
        <v>0</v>
      </c>
      <c r="K363" s="21" t="n">
        <f aca="false">G363*H363*(1-J363)</f>
        <v>960</v>
      </c>
      <c r="L363" s="21" t="n">
        <f aca="false">G363*I363</f>
        <v>555</v>
      </c>
      <c r="M363" s="21" t="n">
        <f aca="false">K363-L363</f>
        <v>405</v>
      </c>
      <c r="N363" s="11" t="str">
        <f aca="false">TEXT(B363,"mmm")</f>
        <v>Apr</v>
      </c>
    </row>
    <row r="364" customFormat="false" ht="15" hidden="false" customHeight="false" outlineLevel="0" collapsed="false">
      <c r="A364" s="11" t="s">
        <v>425</v>
      </c>
      <c r="B364" s="20" t="n">
        <v>45766</v>
      </c>
      <c r="C364" s="11" t="s">
        <v>18</v>
      </c>
      <c r="D364" s="11" t="s">
        <v>37</v>
      </c>
      <c r="E364" s="11" t="s">
        <v>52</v>
      </c>
      <c r="F364" s="11" t="s">
        <v>44</v>
      </c>
      <c r="G364" s="11" t="n">
        <v>8</v>
      </c>
      <c r="H364" s="21" t="n">
        <v>12</v>
      </c>
      <c r="I364" s="21" t="n">
        <v>6</v>
      </c>
      <c r="J364" s="22" t="n">
        <v>0</v>
      </c>
      <c r="K364" s="21" t="n">
        <f aca="false">G364*H364*(1-J364)</f>
        <v>96</v>
      </c>
      <c r="L364" s="21" t="n">
        <f aca="false">G364*I364</f>
        <v>48</v>
      </c>
      <c r="M364" s="21" t="n">
        <f aca="false">K364-L364</f>
        <v>48</v>
      </c>
      <c r="N364" s="11" t="str">
        <f aca="false">TEXT(B364,"mmm")</f>
        <v>Apr</v>
      </c>
    </row>
    <row r="365" customFormat="false" ht="15" hidden="false" customHeight="false" outlineLevel="0" collapsed="false">
      <c r="A365" s="11" t="s">
        <v>426</v>
      </c>
      <c r="B365" s="20" t="n">
        <v>45767</v>
      </c>
      <c r="C365" s="11" t="s">
        <v>24</v>
      </c>
      <c r="D365" s="11" t="s">
        <v>33</v>
      </c>
      <c r="E365" s="11" t="s">
        <v>51</v>
      </c>
      <c r="F365" s="11" t="s">
        <v>45</v>
      </c>
      <c r="G365" s="11" t="n">
        <v>12</v>
      </c>
      <c r="H365" s="21" t="n">
        <v>90</v>
      </c>
      <c r="I365" s="21" t="n">
        <v>58</v>
      </c>
      <c r="J365" s="22" t="n">
        <v>0.15</v>
      </c>
      <c r="K365" s="21" t="n">
        <f aca="false">G365*H365*(1-J365)</f>
        <v>918</v>
      </c>
      <c r="L365" s="21" t="n">
        <f aca="false">G365*I365</f>
        <v>696</v>
      </c>
      <c r="M365" s="21" t="n">
        <f aca="false">K365-L365</f>
        <v>222</v>
      </c>
      <c r="N365" s="11" t="str">
        <f aca="false">TEXT(B365,"mmm")</f>
        <v>Apr</v>
      </c>
    </row>
    <row r="366" customFormat="false" ht="15" hidden="false" customHeight="false" outlineLevel="0" collapsed="false">
      <c r="A366" s="11" t="s">
        <v>427</v>
      </c>
      <c r="B366" s="20" t="n">
        <v>45767</v>
      </c>
      <c r="C366" s="11" t="s">
        <v>24</v>
      </c>
      <c r="D366" s="11" t="s">
        <v>35</v>
      </c>
      <c r="E366" s="11" t="s">
        <v>55</v>
      </c>
      <c r="F366" s="11" t="s">
        <v>42</v>
      </c>
      <c r="G366" s="11" t="n">
        <v>2</v>
      </c>
      <c r="H366" s="21" t="n">
        <v>150</v>
      </c>
      <c r="I366" s="21" t="n">
        <v>82</v>
      </c>
      <c r="J366" s="22" t="n">
        <v>0</v>
      </c>
      <c r="K366" s="21" t="n">
        <f aca="false">G366*H366*(1-J366)</f>
        <v>300</v>
      </c>
      <c r="L366" s="21" t="n">
        <f aca="false">G366*I366</f>
        <v>164</v>
      </c>
      <c r="M366" s="21" t="n">
        <f aca="false">K366-L366</f>
        <v>136</v>
      </c>
      <c r="N366" s="11" t="str">
        <f aca="false">TEXT(B366,"mmm")</f>
        <v>Apr</v>
      </c>
    </row>
    <row r="367" customFormat="false" ht="15" hidden="false" customHeight="false" outlineLevel="0" collapsed="false">
      <c r="A367" s="11" t="s">
        <v>428</v>
      </c>
      <c r="B367" s="20" t="n">
        <v>45768</v>
      </c>
      <c r="C367" s="11" t="s">
        <v>22</v>
      </c>
      <c r="D367" s="11" t="s">
        <v>37</v>
      </c>
      <c r="E367" s="11" t="s">
        <v>53</v>
      </c>
      <c r="F367" s="11" t="s">
        <v>45</v>
      </c>
      <c r="G367" s="11" t="n">
        <v>21</v>
      </c>
      <c r="H367" s="21" t="n">
        <v>9</v>
      </c>
      <c r="I367" s="21" t="n">
        <v>4.5</v>
      </c>
      <c r="J367" s="22" t="n">
        <v>0.2</v>
      </c>
      <c r="K367" s="21" t="n">
        <f aca="false">G367*H367*(1-J367)</f>
        <v>151.2</v>
      </c>
      <c r="L367" s="21" t="n">
        <f aca="false">G367*I367</f>
        <v>94.5</v>
      </c>
      <c r="M367" s="21" t="n">
        <f aca="false">K367-L367</f>
        <v>56.7</v>
      </c>
      <c r="N367" s="11" t="str">
        <f aca="false">TEXT(B367,"mmm")</f>
        <v>Apr</v>
      </c>
    </row>
    <row r="368" customFormat="false" ht="15" hidden="false" customHeight="false" outlineLevel="0" collapsed="false">
      <c r="A368" s="11" t="s">
        <v>429</v>
      </c>
      <c r="B368" s="20" t="n">
        <v>45768</v>
      </c>
      <c r="C368" s="11" t="s">
        <v>18</v>
      </c>
      <c r="D368" s="11" t="s">
        <v>35</v>
      </c>
      <c r="E368" s="11" t="s">
        <v>55</v>
      </c>
      <c r="F368" s="11" t="s">
        <v>42</v>
      </c>
      <c r="G368" s="11" t="n">
        <v>2</v>
      </c>
      <c r="H368" s="21" t="n">
        <v>150</v>
      </c>
      <c r="I368" s="21" t="n">
        <v>82</v>
      </c>
      <c r="J368" s="22" t="n">
        <v>0</v>
      </c>
      <c r="K368" s="21" t="n">
        <f aca="false">G368*H368*(1-J368)</f>
        <v>300</v>
      </c>
      <c r="L368" s="21" t="n">
        <f aca="false">G368*I368</f>
        <v>164</v>
      </c>
      <c r="M368" s="21" t="n">
        <f aca="false">K368-L368</f>
        <v>136</v>
      </c>
      <c r="N368" s="11" t="str">
        <f aca="false">TEXT(B368,"mmm")</f>
        <v>Apr</v>
      </c>
    </row>
    <row r="369" customFormat="false" ht="15" hidden="false" customHeight="false" outlineLevel="0" collapsed="false">
      <c r="A369" s="11" t="s">
        <v>430</v>
      </c>
      <c r="B369" s="20" t="n">
        <v>45768</v>
      </c>
      <c r="C369" s="11" t="s">
        <v>22</v>
      </c>
      <c r="D369" s="11" t="s">
        <v>35</v>
      </c>
      <c r="E369" s="11" t="s">
        <v>54</v>
      </c>
      <c r="F369" s="11" t="s">
        <v>45</v>
      </c>
      <c r="G369" s="11" t="n">
        <v>1</v>
      </c>
      <c r="H369" s="21" t="n">
        <v>320</v>
      </c>
      <c r="I369" s="21" t="n">
        <v>185</v>
      </c>
      <c r="J369" s="22" t="n">
        <v>0.1</v>
      </c>
      <c r="K369" s="21" t="n">
        <f aca="false">G369*H369*(1-J369)</f>
        <v>288</v>
      </c>
      <c r="L369" s="21" t="n">
        <f aca="false">G369*I369</f>
        <v>185</v>
      </c>
      <c r="M369" s="21" t="n">
        <f aca="false">K369-L369</f>
        <v>103</v>
      </c>
      <c r="N369" s="11" t="str">
        <f aca="false">TEXT(B369,"mmm")</f>
        <v>Apr</v>
      </c>
    </row>
    <row r="370" customFormat="false" ht="15" hidden="false" customHeight="false" outlineLevel="0" collapsed="false">
      <c r="A370" s="11" t="s">
        <v>431</v>
      </c>
      <c r="B370" s="20" t="n">
        <v>45768</v>
      </c>
      <c r="C370" s="11" t="s">
        <v>18</v>
      </c>
      <c r="D370" s="11" t="s">
        <v>33</v>
      </c>
      <c r="E370" s="11" t="s">
        <v>50</v>
      </c>
      <c r="F370" s="11" t="s">
        <v>42</v>
      </c>
      <c r="G370" s="11" t="n">
        <v>3</v>
      </c>
      <c r="H370" s="21" t="n">
        <v>780</v>
      </c>
      <c r="I370" s="21" t="n">
        <v>600</v>
      </c>
      <c r="J370" s="22" t="n">
        <v>0</v>
      </c>
      <c r="K370" s="21" t="n">
        <f aca="false">G370*H370*(1-J370)</f>
        <v>2340</v>
      </c>
      <c r="L370" s="21" t="n">
        <f aca="false">G370*I370</f>
        <v>1800</v>
      </c>
      <c r="M370" s="21" t="n">
        <f aca="false">K370-L370</f>
        <v>540</v>
      </c>
      <c r="N370" s="11" t="str">
        <f aca="false">TEXT(B370,"mmm")</f>
        <v>Apr</v>
      </c>
    </row>
    <row r="371" customFormat="false" ht="15" hidden="false" customHeight="false" outlineLevel="0" collapsed="false">
      <c r="A371" s="11" t="s">
        <v>432</v>
      </c>
      <c r="B371" s="20" t="n">
        <v>45768</v>
      </c>
      <c r="C371" s="11" t="s">
        <v>18</v>
      </c>
      <c r="D371" s="11" t="s">
        <v>37</v>
      </c>
      <c r="E371" s="11" t="s">
        <v>53</v>
      </c>
      <c r="F371" s="11" t="s">
        <v>42</v>
      </c>
      <c r="G371" s="11" t="n">
        <v>35</v>
      </c>
      <c r="H371" s="21" t="n">
        <v>9</v>
      </c>
      <c r="I371" s="21" t="n">
        <v>4.5</v>
      </c>
      <c r="J371" s="22" t="n">
        <v>0</v>
      </c>
      <c r="K371" s="21" t="n">
        <f aca="false">G371*H371*(1-J371)</f>
        <v>315</v>
      </c>
      <c r="L371" s="21" t="n">
        <f aca="false">G371*I371</f>
        <v>157.5</v>
      </c>
      <c r="M371" s="21" t="n">
        <f aca="false">K371-L371</f>
        <v>157.5</v>
      </c>
      <c r="N371" s="11" t="str">
        <f aca="false">TEXT(B371,"mmm")</f>
        <v>Apr</v>
      </c>
    </row>
    <row r="372" customFormat="false" ht="15" hidden="false" customHeight="false" outlineLevel="0" collapsed="false">
      <c r="A372" s="11" t="s">
        <v>433</v>
      </c>
      <c r="B372" s="20" t="n">
        <v>45768</v>
      </c>
      <c r="C372" s="11" t="s">
        <v>22</v>
      </c>
      <c r="D372" s="11" t="s">
        <v>37</v>
      </c>
      <c r="E372" s="11" t="s">
        <v>52</v>
      </c>
      <c r="F372" s="11" t="s">
        <v>45</v>
      </c>
      <c r="G372" s="11" t="n">
        <v>39</v>
      </c>
      <c r="H372" s="21" t="n">
        <v>12</v>
      </c>
      <c r="I372" s="21" t="n">
        <v>6</v>
      </c>
      <c r="J372" s="22" t="n">
        <v>0.2</v>
      </c>
      <c r="K372" s="21" t="n">
        <f aca="false">G372*H372*(1-J372)</f>
        <v>374.4</v>
      </c>
      <c r="L372" s="21" t="n">
        <f aca="false">G372*I372</f>
        <v>234</v>
      </c>
      <c r="M372" s="21" t="n">
        <f aca="false">K372-L372</f>
        <v>140.4</v>
      </c>
      <c r="N372" s="11" t="str">
        <f aca="false">TEXT(B372,"mmm")</f>
        <v>Apr</v>
      </c>
    </row>
    <row r="373" customFormat="false" ht="15" hidden="false" customHeight="false" outlineLevel="0" collapsed="false">
      <c r="A373" s="11" t="s">
        <v>434</v>
      </c>
      <c r="B373" s="20" t="n">
        <v>45769</v>
      </c>
      <c r="C373" s="11" t="s">
        <v>22</v>
      </c>
      <c r="D373" s="11" t="s">
        <v>37</v>
      </c>
      <c r="E373" s="11" t="s">
        <v>53</v>
      </c>
      <c r="F373" s="11" t="s">
        <v>45</v>
      </c>
      <c r="G373" s="11" t="n">
        <v>108</v>
      </c>
      <c r="H373" s="21" t="n">
        <v>9</v>
      </c>
      <c r="I373" s="21" t="n">
        <v>4.5</v>
      </c>
      <c r="J373" s="22" t="n">
        <v>0.15</v>
      </c>
      <c r="K373" s="21" t="n">
        <f aca="false">G373*H373*(1-J373)</f>
        <v>826.2</v>
      </c>
      <c r="L373" s="21" t="n">
        <f aca="false">G373*I373</f>
        <v>486</v>
      </c>
      <c r="M373" s="21" t="n">
        <f aca="false">K373-L373</f>
        <v>340.2</v>
      </c>
      <c r="N373" s="11" t="str">
        <f aca="false">TEXT(B373,"mmm")</f>
        <v>Apr</v>
      </c>
    </row>
    <row r="374" customFormat="false" ht="15" hidden="false" customHeight="false" outlineLevel="0" collapsed="false">
      <c r="A374" s="11" t="s">
        <v>435</v>
      </c>
      <c r="B374" s="20" t="n">
        <v>45769</v>
      </c>
      <c r="C374" s="11" t="s">
        <v>20</v>
      </c>
      <c r="D374" s="11" t="s">
        <v>33</v>
      </c>
      <c r="E374" s="11" t="s">
        <v>50</v>
      </c>
      <c r="F374" s="11" t="s">
        <v>44</v>
      </c>
      <c r="G374" s="11" t="n">
        <v>3</v>
      </c>
      <c r="H374" s="21" t="n">
        <v>780</v>
      </c>
      <c r="I374" s="21" t="n">
        <v>600</v>
      </c>
      <c r="J374" s="22" t="n">
        <v>0.05</v>
      </c>
      <c r="K374" s="21" t="n">
        <f aca="false">G374*H374*(1-J374)</f>
        <v>2223</v>
      </c>
      <c r="L374" s="21" t="n">
        <f aca="false">G374*I374</f>
        <v>1800</v>
      </c>
      <c r="M374" s="21" t="n">
        <f aca="false">K374-L374</f>
        <v>423</v>
      </c>
      <c r="N374" s="11" t="str">
        <f aca="false">TEXT(B374,"mmm")</f>
        <v>Apr</v>
      </c>
    </row>
    <row r="375" customFormat="false" ht="15" hidden="false" customHeight="false" outlineLevel="0" collapsed="false">
      <c r="A375" s="11" t="s">
        <v>436</v>
      </c>
      <c r="B375" s="20" t="n">
        <v>45769</v>
      </c>
      <c r="C375" s="11" t="s">
        <v>24</v>
      </c>
      <c r="D375" s="11" t="s">
        <v>33</v>
      </c>
      <c r="E375" s="11" t="s">
        <v>50</v>
      </c>
      <c r="F375" s="11" t="s">
        <v>44</v>
      </c>
      <c r="G375" s="11" t="n">
        <v>2</v>
      </c>
      <c r="H375" s="21" t="n">
        <v>780</v>
      </c>
      <c r="I375" s="21" t="n">
        <v>600</v>
      </c>
      <c r="J375" s="22" t="n">
        <v>0.1</v>
      </c>
      <c r="K375" s="21" t="n">
        <f aca="false">G375*H375*(1-J375)</f>
        <v>1404</v>
      </c>
      <c r="L375" s="21" t="n">
        <f aca="false">G375*I375</f>
        <v>1200</v>
      </c>
      <c r="M375" s="21" t="n">
        <f aca="false">K375-L375</f>
        <v>204</v>
      </c>
      <c r="N375" s="11" t="str">
        <f aca="false">TEXT(B375,"mmm")</f>
        <v>Apr</v>
      </c>
    </row>
    <row r="376" customFormat="false" ht="15" hidden="false" customHeight="false" outlineLevel="0" collapsed="false">
      <c r="A376" s="11" t="s">
        <v>437</v>
      </c>
      <c r="B376" s="20" t="n">
        <v>45769</v>
      </c>
      <c r="C376" s="11" t="s">
        <v>22</v>
      </c>
      <c r="D376" s="11" t="s">
        <v>37</v>
      </c>
      <c r="E376" s="11" t="s">
        <v>52</v>
      </c>
      <c r="F376" s="11" t="s">
        <v>44</v>
      </c>
      <c r="G376" s="11" t="n">
        <v>32</v>
      </c>
      <c r="H376" s="21" t="n">
        <v>12</v>
      </c>
      <c r="I376" s="21" t="n">
        <v>6</v>
      </c>
      <c r="J376" s="22" t="n">
        <v>0</v>
      </c>
      <c r="K376" s="21" t="n">
        <f aca="false">G376*H376*(1-J376)</f>
        <v>384</v>
      </c>
      <c r="L376" s="21" t="n">
        <f aca="false">G376*I376</f>
        <v>192</v>
      </c>
      <c r="M376" s="21" t="n">
        <f aca="false">K376-L376</f>
        <v>192</v>
      </c>
      <c r="N376" s="11" t="str">
        <f aca="false">TEXT(B376,"mmm")</f>
        <v>Apr</v>
      </c>
    </row>
    <row r="377" customFormat="false" ht="15" hidden="false" customHeight="false" outlineLevel="0" collapsed="false">
      <c r="A377" s="11" t="s">
        <v>438</v>
      </c>
      <c r="B377" s="20" t="n">
        <v>45769</v>
      </c>
      <c r="C377" s="11" t="s">
        <v>20</v>
      </c>
      <c r="D377" s="11" t="s">
        <v>37</v>
      </c>
      <c r="E377" s="11" t="s">
        <v>49</v>
      </c>
      <c r="F377" s="11" t="s">
        <v>42</v>
      </c>
      <c r="G377" s="11" t="n">
        <v>38</v>
      </c>
      <c r="H377" s="21" t="n">
        <v>28</v>
      </c>
      <c r="I377" s="21" t="n">
        <v>17</v>
      </c>
      <c r="J377" s="22" t="n">
        <v>0.1</v>
      </c>
      <c r="K377" s="21" t="n">
        <f aca="false">G377*H377*(1-J377)</f>
        <v>957.6</v>
      </c>
      <c r="L377" s="21" t="n">
        <f aca="false">G377*I377</f>
        <v>646</v>
      </c>
      <c r="M377" s="21" t="n">
        <f aca="false">K377-L377</f>
        <v>311.6</v>
      </c>
      <c r="N377" s="11" t="str">
        <f aca="false">TEXT(B377,"mmm")</f>
        <v>Apr</v>
      </c>
    </row>
    <row r="378" customFormat="false" ht="15" hidden="false" customHeight="false" outlineLevel="0" collapsed="false">
      <c r="A378" s="11" t="s">
        <v>439</v>
      </c>
      <c r="B378" s="20" t="n">
        <v>45769</v>
      </c>
      <c r="C378" s="11" t="s">
        <v>24</v>
      </c>
      <c r="D378" s="11" t="s">
        <v>37</v>
      </c>
      <c r="E378" s="11" t="s">
        <v>49</v>
      </c>
      <c r="F378" s="11" t="s">
        <v>42</v>
      </c>
      <c r="G378" s="11" t="n">
        <v>12</v>
      </c>
      <c r="H378" s="21" t="n">
        <v>28</v>
      </c>
      <c r="I378" s="21" t="n">
        <v>17</v>
      </c>
      <c r="J378" s="22" t="n">
        <v>0</v>
      </c>
      <c r="K378" s="21" t="n">
        <f aca="false">G378*H378*(1-J378)</f>
        <v>336</v>
      </c>
      <c r="L378" s="21" t="n">
        <f aca="false">G378*I378</f>
        <v>204</v>
      </c>
      <c r="M378" s="21" t="n">
        <f aca="false">K378-L378</f>
        <v>132</v>
      </c>
      <c r="N378" s="11" t="str">
        <f aca="false">TEXT(B378,"mmm")</f>
        <v>Apr</v>
      </c>
    </row>
    <row r="379" customFormat="false" ht="15" hidden="false" customHeight="false" outlineLevel="0" collapsed="false">
      <c r="A379" s="11" t="s">
        <v>440</v>
      </c>
      <c r="B379" s="20" t="n">
        <v>45770</v>
      </c>
      <c r="C379" s="11" t="s">
        <v>18</v>
      </c>
      <c r="D379" s="11" t="s">
        <v>33</v>
      </c>
      <c r="E379" s="11" t="s">
        <v>51</v>
      </c>
      <c r="F379" s="11" t="s">
        <v>42</v>
      </c>
      <c r="G379" s="11" t="n">
        <v>5</v>
      </c>
      <c r="H379" s="21" t="n">
        <v>90</v>
      </c>
      <c r="I379" s="21" t="n">
        <v>58</v>
      </c>
      <c r="J379" s="22" t="n">
        <v>0</v>
      </c>
      <c r="K379" s="21" t="n">
        <f aca="false">G379*H379*(1-J379)</f>
        <v>450</v>
      </c>
      <c r="L379" s="21" t="n">
        <f aca="false">G379*I379</f>
        <v>290</v>
      </c>
      <c r="M379" s="21" t="n">
        <f aca="false">K379-L379</f>
        <v>160</v>
      </c>
      <c r="N379" s="11" t="str">
        <f aca="false">TEXT(B379,"mmm")</f>
        <v>Apr</v>
      </c>
    </row>
    <row r="380" customFormat="false" ht="15" hidden="false" customHeight="false" outlineLevel="0" collapsed="false">
      <c r="A380" s="11" t="s">
        <v>441</v>
      </c>
      <c r="B380" s="20" t="n">
        <v>45771</v>
      </c>
      <c r="C380" s="11" t="s">
        <v>20</v>
      </c>
      <c r="D380" s="11" t="s">
        <v>37</v>
      </c>
      <c r="E380" s="11" t="s">
        <v>52</v>
      </c>
      <c r="F380" s="11" t="s">
        <v>44</v>
      </c>
      <c r="G380" s="11" t="n">
        <v>21</v>
      </c>
      <c r="H380" s="21" t="n">
        <v>12</v>
      </c>
      <c r="I380" s="21" t="n">
        <v>6</v>
      </c>
      <c r="J380" s="22" t="n">
        <v>0</v>
      </c>
      <c r="K380" s="21" t="n">
        <f aca="false">G380*H380*(1-J380)</f>
        <v>252</v>
      </c>
      <c r="L380" s="21" t="n">
        <f aca="false">G380*I380</f>
        <v>126</v>
      </c>
      <c r="M380" s="21" t="n">
        <f aca="false">K380-L380</f>
        <v>126</v>
      </c>
      <c r="N380" s="11" t="str">
        <f aca="false">TEXT(B380,"mmm")</f>
        <v>Apr</v>
      </c>
    </row>
    <row r="381" customFormat="false" ht="15" hidden="false" customHeight="false" outlineLevel="0" collapsed="false">
      <c r="A381" s="11" t="s">
        <v>442</v>
      </c>
      <c r="B381" s="20" t="n">
        <v>45771</v>
      </c>
      <c r="C381" s="11" t="s">
        <v>18</v>
      </c>
      <c r="D381" s="11" t="s">
        <v>37</v>
      </c>
      <c r="E381" s="11" t="s">
        <v>52</v>
      </c>
      <c r="F381" s="11" t="s">
        <v>42</v>
      </c>
      <c r="G381" s="11" t="n">
        <v>14</v>
      </c>
      <c r="H381" s="21" t="n">
        <v>12</v>
      </c>
      <c r="I381" s="21" t="n">
        <v>6</v>
      </c>
      <c r="J381" s="22" t="n">
        <v>0</v>
      </c>
      <c r="K381" s="21" t="n">
        <f aca="false">G381*H381*(1-J381)</f>
        <v>168</v>
      </c>
      <c r="L381" s="21" t="n">
        <f aca="false">G381*I381</f>
        <v>84</v>
      </c>
      <c r="M381" s="21" t="n">
        <f aca="false">K381-L381</f>
        <v>84</v>
      </c>
      <c r="N381" s="11" t="str">
        <f aca="false">TEXT(B381,"mmm")</f>
        <v>Apr</v>
      </c>
    </row>
    <row r="382" customFormat="false" ht="15" hidden="false" customHeight="false" outlineLevel="0" collapsed="false">
      <c r="A382" s="11" t="s">
        <v>443</v>
      </c>
      <c r="B382" s="20" t="n">
        <v>45771</v>
      </c>
      <c r="C382" s="11" t="s">
        <v>18</v>
      </c>
      <c r="D382" s="11" t="s">
        <v>33</v>
      </c>
      <c r="E382" s="11" t="s">
        <v>51</v>
      </c>
      <c r="F382" s="11" t="s">
        <v>42</v>
      </c>
      <c r="G382" s="11" t="n">
        <v>2</v>
      </c>
      <c r="H382" s="21" t="n">
        <v>90</v>
      </c>
      <c r="I382" s="21" t="n">
        <v>58</v>
      </c>
      <c r="J382" s="22" t="n">
        <v>0.1</v>
      </c>
      <c r="K382" s="21" t="n">
        <f aca="false">G382*H382*(1-J382)</f>
        <v>162</v>
      </c>
      <c r="L382" s="21" t="n">
        <f aca="false">G382*I382</f>
        <v>116</v>
      </c>
      <c r="M382" s="21" t="n">
        <f aca="false">K382-L382</f>
        <v>46</v>
      </c>
      <c r="N382" s="11" t="str">
        <f aca="false">TEXT(B382,"mmm")</f>
        <v>Apr</v>
      </c>
    </row>
    <row r="383" customFormat="false" ht="15" hidden="false" customHeight="false" outlineLevel="0" collapsed="false">
      <c r="A383" s="11" t="s">
        <v>444</v>
      </c>
      <c r="B383" s="20" t="n">
        <v>45771</v>
      </c>
      <c r="C383" s="11" t="s">
        <v>20</v>
      </c>
      <c r="D383" s="11" t="s">
        <v>37</v>
      </c>
      <c r="E383" s="11" t="s">
        <v>49</v>
      </c>
      <c r="F383" s="11" t="s">
        <v>42</v>
      </c>
      <c r="G383" s="11" t="n">
        <v>16</v>
      </c>
      <c r="H383" s="21" t="n">
        <v>28</v>
      </c>
      <c r="I383" s="21" t="n">
        <v>17</v>
      </c>
      <c r="J383" s="22" t="n">
        <v>0.1</v>
      </c>
      <c r="K383" s="21" t="n">
        <f aca="false">G383*H383*(1-J383)</f>
        <v>403.2</v>
      </c>
      <c r="L383" s="21" t="n">
        <f aca="false">G383*I383</f>
        <v>272</v>
      </c>
      <c r="M383" s="21" t="n">
        <f aca="false">K383-L383</f>
        <v>131.2</v>
      </c>
      <c r="N383" s="11" t="str">
        <f aca="false">TEXT(B383,"mmm")</f>
        <v>Apr</v>
      </c>
    </row>
    <row r="384" customFormat="false" ht="15" hidden="false" customHeight="false" outlineLevel="0" collapsed="false">
      <c r="A384" s="11" t="s">
        <v>445</v>
      </c>
      <c r="B384" s="20" t="n">
        <v>45771</v>
      </c>
      <c r="C384" s="11" t="s">
        <v>20</v>
      </c>
      <c r="D384" s="11" t="s">
        <v>35</v>
      </c>
      <c r="E384" s="11" t="s">
        <v>56</v>
      </c>
      <c r="F384" s="11" t="s">
        <v>42</v>
      </c>
      <c r="G384" s="11" t="n">
        <v>4</v>
      </c>
      <c r="H384" s="21" t="n">
        <v>110</v>
      </c>
      <c r="I384" s="21" t="n">
        <v>62</v>
      </c>
      <c r="J384" s="22" t="n">
        <v>0</v>
      </c>
      <c r="K384" s="21" t="n">
        <f aca="false">G384*H384*(1-J384)</f>
        <v>440</v>
      </c>
      <c r="L384" s="21" t="n">
        <f aca="false">G384*I384</f>
        <v>248</v>
      </c>
      <c r="M384" s="21" t="n">
        <f aca="false">K384-L384</f>
        <v>192</v>
      </c>
      <c r="N384" s="11" t="str">
        <f aca="false">TEXT(B384,"mmm")</f>
        <v>Apr</v>
      </c>
    </row>
    <row r="385" customFormat="false" ht="15" hidden="false" customHeight="false" outlineLevel="0" collapsed="false">
      <c r="A385" s="11" t="s">
        <v>446</v>
      </c>
      <c r="B385" s="20" t="n">
        <v>45772</v>
      </c>
      <c r="C385" s="11" t="s">
        <v>18</v>
      </c>
      <c r="D385" s="11" t="s">
        <v>33</v>
      </c>
      <c r="E385" s="11" t="s">
        <v>48</v>
      </c>
      <c r="F385" s="11" t="s">
        <v>44</v>
      </c>
      <c r="G385" s="11" t="n">
        <v>2</v>
      </c>
      <c r="H385" s="21" t="n">
        <v>520</v>
      </c>
      <c r="I385" s="21" t="n">
        <v>415</v>
      </c>
      <c r="J385" s="22" t="n">
        <v>0.1</v>
      </c>
      <c r="K385" s="21" t="n">
        <f aca="false">G385*H385*(1-J385)</f>
        <v>936</v>
      </c>
      <c r="L385" s="21" t="n">
        <f aca="false">G385*I385</f>
        <v>830</v>
      </c>
      <c r="M385" s="21" t="n">
        <f aca="false">K385-L385</f>
        <v>106</v>
      </c>
      <c r="N385" s="11" t="str">
        <f aca="false">TEXT(B385,"mmm")</f>
        <v>Apr</v>
      </c>
    </row>
    <row r="386" customFormat="false" ht="15" hidden="false" customHeight="false" outlineLevel="0" collapsed="false">
      <c r="A386" s="11" t="s">
        <v>447</v>
      </c>
      <c r="B386" s="20" t="n">
        <v>45772</v>
      </c>
      <c r="C386" s="11" t="s">
        <v>18</v>
      </c>
      <c r="D386" s="11" t="s">
        <v>35</v>
      </c>
      <c r="E386" s="11" t="s">
        <v>56</v>
      </c>
      <c r="F386" s="11" t="s">
        <v>45</v>
      </c>
      <c r="G386" s="11" t="n">
        <v>3</v>
      </c>
      <c r="H386" s="21" t="n">
        <v>110</v>
      </c>
      <c r="I386" s="21" t="n">
        <v>62</v>
      </c>
      <c r="J386" s="22" t="n">
        <v>0.2</v>
      </c>
      <c r="K386" s="21" t="n">
        <f aca="false">G386*H386*(1-J386)</f>
        <v>264</v>
      </c>
      <c r="L386" s="21" t="n">
        <f aca="false">G386*I386</f>
        <v>186</v>
      </c>
      <c r="M386" s="21" t="n">
        <f aca="false">K386-L386</f>
        <v>78</v>
      </c>
      <c r="N386" s="11" t="str">
        <f aca="false">TEXT(B386,"mmm")</f>
        <v>Apr</v>
      </c>
    </row>
    <row r="387" customFormat="false" ht="15" hidden="false" customHeight="false" outlineLevel="0" collapsed="false">
      <c r="A387" s="11" t="s">
        <v>448</v>
      </c>
      <c r="B387" s="20" t="n">
        <v>45772</v>
      </c>
      <c r="C387" s="11" t="s">
        <v>20</v>
      </c>
      <c r="D387" s="11" t="s">
        <v>37</v>
      </c>
      <c r="E387" s="11" t="s">
        <v>52</v>
      </c>
      <c r="F387" s="11" t="s">
        <v>42</v>
      </c>
      <c r="G387" s="11" t="n">
        <v>32</v>
      </c>
      <c r="H387" s="21" t="n">
        <v>12</v>
      </c>
      <c r="I387" s="21" t="n">
        <v>6</v>
      </c>
      <c r="J387" s="22" t="n">
        <v>0.1</v>
      </c>
      <c r="K387" s="21" t="n">
        <f aca="false">G387*H387*(1-J387)</f>
        <v>345.6</v>
      </c>
      <c r="L387" s="21" t="n">
        <f aca="false">G387*I387</f>
        <v>192</v>
      </c>
      <c r="M387" s="21" t="n">
        <f aca="false">K387-L387</f>
        <v>153.6</v>
      </c>
      <c r="N387" s="11" t="str">
        <f aca="false">TEXT(B387,"mmm")</f>
        <v>Apr</v>
      </c>
    </row>
    <row r="388" customFormat="false" ht="15" hidden="false" customHeight="false" outlineLevel="0" collapsed="false">
      <c r="A388" s="11" t="s">
        <v>449</v>
      </c>
      <c r="B388" s="20" t="n">
        <v>45773</v>
      </c>
      <c r="C388" s="11" t="s">
        <v>22</v>
      </c>
      <c r="D388" s="11" t="s">
        <v>37</v>
      </c>
      <c r="E388" s="11" t="s">
        <v>52</v>
      </c>
      <c r="F388" s="11" t="s">
        <v>42</v>
      </c>
      <c r="G388" s="11" t="n">
        <v>36</v>
      </c>
      <c r="H388" s="21" t="n">
        <v>12</v>
      </c>
      <c r="I388" s="21" t="n">
        <v>6</v>
      </c>
      <c r="J388" s="22" t="n">
        <v>0.1</v>
      </c>
      <c r="K388" s="21" t="n">
        <f aca="false">G388*H388*(1-J388)</f>
        <v>388.8</v>
      </c>
      <c r="L388" s="21" t="n">
        <f aca="false">G388*I388</f>
        <v>216</v>
      </c>
      <c r="M388" s="21" t="n">
        <f aca="false">K388-L388</f>
        <v>172.8</v>
      </c>
      <c r="N388" s="11" t="str">
        <f aca="false">TEXT(B388,"mmm")</f>
        <v>Apr</v>
      </c>
    </row>
    <row r="389" customFormat="false" ht="15" hidden="false" customHeight="false" outlineLevel="0" collapsed="false">
      <c r="A389" s="11" t="s">
        <v>450</v>
      </c>
      <c r="B389" s="20" t="n">
        <v>45773</v>
      </c>
      <c r="C389" s="11" t="s">
        <v>24</v>
      </c>
      <c r="D389" s="11" t="s">
        <v>33</v>
      </c>
      <c r="E389" s="11" t="s">
        <v>50</v>
      </c>
      <c r="F389" s="11" t="s">
        <v>44</v>
      </c>
      <c r="G389" s="11" t="n">
        <v>1</v>
      </c>
      <c r="H389" s="21" t="n">
        <v>780</v>
      </c>
      <c r="I389" s="21" t="n">
        <v>600</v>
      </c>
      <c r="J389" s="22" t="n">
        <v>0.1</v>
      </c>
      <c r="K389" s="21" t="n">
        <f aca="false">G389*H389*(1-J389)</f>
        <v>702</v>
      </c>
      <c r="L389" s="21" t="n">
        <f aca="false">G389*I389</f>
        <v>600</v>
      </c>
      <c r="M389" s="21" t="n">
        <f aca="false">K389-L389</f>
        <v>102</v>
      </c>
      <c r="N389" s="11" t="str">
        <f aca="false">TEXT(B389,"mmm")</f>
        <v>Apr</v>
      </c>
    </row>
    <row r="390" customFormat="false" ht="15" hidden="false" customHeight="false" outlineLevel="0" collapsed="false">
      <c r="A390" s="11" t="s">
        <v>451</v>
      </c>
      <c r="B390" s="20" t="n">
        <v>45773</v>
      </c>
      <c r="C390" s="11" t="s">
        <v>20</v>
      </c>
      <c r="D390" s="11" t="s">
        <v>37</v>
      </c>
      <c r="E390" s="11" t="s">
        <v>49</v>
      </c>
      <c r="F390" s="11" t="s">
        <v>44</v>
      </c>
      <c r="G390" s="11" t="n">
        <v>9</v>
      </c>
      <c r="H390" s="21" t="n">
        <v>28</v>
      </c>
      <c r="I390" s="21" t="n">
        <v>17</v>
      </c>
      <c r="J390" s="22" t="n">
        <v>0.05</v>
      </c>
      <c r="K390" s="21" t="n">
        <f aca="false">G390*H390*(1-J390)</f>
        <v>239.4</v>
      </c>
      <c r="L390" s="21" t="n">
        <f aca="false">G390*I390</f>
        <v>153</v>
      </c>
      <c r="M390" s="21" t="n">
        <f aca="false">K390-L390</f>
        <v>86.4</v>
      </c>
      <c r="N390" s="11" t="str">
        <f aca="false">TEXT(B390,"mmm")</f>
        <v>Apr</v>
      </c>
    </row>
    <row r="391" customFormat="false" ht="15" hidden="false" customHeight="false" outlineLevel="0" collapsed="false">
      <c r="A391" s="11" t="s">
        <v>452</v>
      </c>
      <c r="B391" s="20" t="n">
        <v>45773</v>
      </c>
      <c r="C391" s="11" t="s">
        <v>18</v>
      </c>
      <c r="D391" s="11" t="s">
        <v>37</v>
      </c>
      <c r="E391" s="11" t="s">
        <v>53</v>
      </c>
      <c r="F391" s="11" t="s">
        <v>42</v>
      </c>
      <c r="G391" s="11" t="n">
        <v>33</v>
      </c>
      <c r="H391" s="21" t="n">
        <v>9</v>
      </c>
      <c r="I391" s="21" t="n">
        <v>4.5</v>
      </c>
      <c r="J391" s="22" t="n">
        <v>0.05</v>
      </c>
      <c r="K391" s="21" t="n">
        <f aca="false">G391*H391*(1-J391)</f>
        <v>282.15</v>
      </c>
      <c r="L391" s="21" t="n">
        <f aca="false">G391*I391</f>
        <v>148.5</v>
      </c>
      <c r="M391" s="21" t="n">
        <f aca="false">K391-L391</f>
        <v>133.65</v>
      </c>
      <c r="N391" s="11" t="str">
        <f aca="false">TEXT(B391,"mmm")</f>
        <v>Apr</v>
      </c>
    </row>
    <row r="392" customFormat="false" ht="15" hidden="false" customHeight="false" outlineLevel="0" collapsed="false">
      <c r="A392" s="11" t="s">
        <v>453</v>
      </c>
      <c r="B392" s="20" t="n">
        <v>45773</v>
      </c>
      <c r="C392" s="11" t="s">
        <v>24</v>
      </c>
      <c r="D392" s="11" t="s">
        <v>37</v>
      </c>
      <c r="E392" s="11" t="s">
        <v>49</v>
      </c>
      <c r="F392" s="11" t="s">
        <v>42</v>
      </c>
      <c r="G392" s="11" t="n">
        <v>24</v>
      </c>
      <c r="H392" s="21" t="n">
        <v>28</v>
      </c>
      <c r="I392" s="21" t="n">
        <v>17</v>
      </c>
      <c r="J392" s="22" t="n">
        <v>0.05</v>
      </c>
      <c r="K392" s="21" t="n">
        <f aca="false">G392*H392*(1-J392)</f>
        <v>638.4</v>
      </c>
      <c r="L392" s="21" t="n">
        <f aca="false">G392*I392</f>
        <v>408</v>
      </c>
      <c r="M392" s="21" t="n">
        <f aca="false">K392-L392</f>
        <v>230.4</v>
      </c>
      <c r="N392" s="11" t="str">
        <f aca="false">TEXT(B392,"mmm")</f>
        <v>Apr</v>
      </c>
    </row>
    <row r="393" customFormat="false" ht="15" hidden="false" customHeight="false" outlineLevel="0" collapsed="false">
      <c r="A393" s="11" t="s">
        <v>454</v>
      </c>
      <c r="B393" s="20" t="n">
        <v>45773</v>
      </c>
      <c r="C393" s="11" t="s">
        <v>20</v>
      </c>
      <c r="D393" s="11" t="s">
        <v>33</v>
      </c>
      <c r="E393" s="11" t="s">
        <v>48</v>
      </c>
      <c r="F393" s="11" t="s">
        <v>42</v>
      </c>
      <c r="G393" s="11" t="n">
        <v>3</v>
      </c>
      <c r="H393" s="21" t="n">
        <v>520</v>
      </c>
      <c r="I393" s="21" t="n">
        <v>415</v>
      </c>
      <c r="J393" s="22" t="n">
        <v>0</v>
      </c>
      <c r="K393" s="21" t="n">
        <f aca="false">G393*H393*(1-J393)</f>
        <v>1560</v>
      </c>
      <c r="L393" s="21" t="n">
        <f aca="false">G393*I393</f>
        <v>1245</v>
      </c>
      <c r="M393" s="21" t="n">
        <f aca="false">K393-L393</f>
        <v>315</v>
      </c>
      <c r="N393" s="11" t="str">
        <f aca="false">TEXT(B393,"mmm")</f>
        <v>Apr</v>
      </c>
    </row>
    <row r="394" customFormat="false" ht="15" hidden="false" customHeight="false" outlineLevel="0" collapsed="false">
      <c r="A394" s="11" t="s">
        <v>455</v>
      </c>
      <c r="B394" s="20" t="n">
        <v>45773</v>
      </c>
      <c r="C394" s="11" t="s">
        <v>18</v>
      </c>
      <c r="D394" s="11" t="s">
        <v>37</v>
      </c>
      <c r="E394" s="11" t="s">
        <v>52</v>
      </c>
      <c r="F394" s="11" t="s">
        <v>44</v>
      </c>
      <c r="G394" s="11" t="n">
        <v>19</v>
      </c>
      <c r="H394" s="21" t="n">
        <v>12</v>
      </c>
      <c r="I394" s="21" t="n">
        <v>6</v>
      </c>
      <c r="J394" s="22" t="n">
        <v>0.05</v>
      </c>
      <c r="K394" s="21" t="n">
        <f aca="false">G394*H394*(1-J394)</f>
        <v>216.6</v>
      </c>
      <c r="L394" s="21" t="n">
        <f aca="false">G394*I394</f>
        <v>114</v>
      </c>
      <c r="M394" s="21" t="n">
        <f aca="false">K394-L394</f>
        <v>102.6</v>
      </c>
      <c r="N394" s="11" t="str">
        <f aca="false">TEXT(B394,"mmm")</f>
        <v>Apr</v>
      </c>
    </row>
    <row r="395" customFormat="false" ht="15" hidden="false" customHeight="false" outlineLevel="0" collapsed="false">
      <c r="A395" s="11" t="s">
        <v>456</v>
      </c>
      <c r="B395" s="20" t="n">
        <v>45774</v>
      </c>
      <c r="C395" s="11" t="s">
        <v>20</v>
      </c>
      <c r="D395" s="11" t="s">
        <v>37</v>
      </c>
      <c r="E395" s="11" t="s">
        <v>52</v>
      </c>
      <c r="F395" s="11" t="s">
        <v>44</v>
      </c>
      <c r="G395" s="11" t="n">
        <v>7</v>
      </c>
      <c r="H395" s="21" t="n">
        <v>12</v>
      </c>
      <c r="I395" s="21" t="n">
        <v>6</v>
      </c>
      <c r="J395" s="22" t="n">
        <v>0.05</v>
      </c>
      <c r="K395" s="21" t="n">
        <f aca="false">G395*H395*(1-J395)</f>
        <v>79.8</v>
      </c>
      <c r="L395" s="21" t="n">
        <f aca="false">G395*I395</f>
        <v>42</v>
      </c>
      <c r="M395" s="21" t="n">
        <f aca="false">K395-L395</f>
        <v>37.8</v>
      </c>
      <c r="N395" s="11" t="str">
        <f aca="false">TEXT(B395,"mmm")</f>
        <v>Apr</v>
      </c>
    </row>
    <row r="396" customFormat="false" ht="15" hidden="false" customHeight="false" outlineLevel="0" collapsed="false">
      <c r="A396" s="11" t="s">
        <v>457</v>
      </c>
      <c r="B396" s="20" t="n">
        <v>45774</v>
      </c>
      <c r="C396" s="11" t="s">
        <v>18</v>
      </c>
      <c r="D396" s="11" t="s">
        <v>37</v>
      </c>
      <c r="E396" s="11" t="s">
        <v>49</v>
      </c>
      <c r="F396" s="11" t="s">
        <v>42</v>
      </c>
      <c r="G396" s="11" t="n">
        <v>39</v>
      </c>
      <c r="H396" s="21" t="n">
        <v>28</v>
      </c>
      <c r="I396" s="21" t="n">
        <v>17</v>
      </c>
      <c r="J396" s="22" t="n">
        <v>0.15</v>
      </c>
      <c r="K396" s="21" t="n">
        <f aca="false">G396*H396*(1-J396)</f>
        <v>928.2</v>
      </c>
      <c r="L396" s="21" t="n">
        <f aca="false">G396*I396</f>
        <v>663</v>
      </c>
      <c r="M396" s="21" t="n">
        <f aca="false">K396-L396</f>
        <v>265.2</v>
      </c>
      <c r="N396" s="11" t="str">
        <f aca="false">TEXT(B396,"mmm")</f>
        <v>Apr</v>
      </c>
    </row>
    <row r="397" customFormat="false" ht="15" hidden="false" customHeight="false" outlineLevel="0" collapsed="false">
      <c r="A397" s="11" t="s">
        <v>458</v>
      </c>
      <c r="B397" s="20" t="n">
        <v>45774</v>
      </c>
      <c r="C397" s="11" t="s">
        <v>24</v>
      </c>
      <c r="D397" s="11" t="s">
        <v>37</v>
      </c>
      <c r="E397" s="11" t="s">
        <v>52</v>
      </c>
      <c r="F397" s="11" t="s">
        <v>45</v>
      </c>
      <c r="G397" s="11" t="n">
        <v>3</v>
      </c>
      <c r="H397" s="21" t="n">
        <v>12</v>
      </c>
      <c r="I397" s="21" t="n">
        <v>6</v>
      </c>
      <c r="J397" s="22" t="n">
        <v>0.2</v>
      </c>
      <c r="K397" s="21" t="n">
        <f aca="false">G397*H397*(1-J397)</f>
        <v>28.8</v>
      </c>
      <c r="L397" s="21" t="n">
        <f aca="false">G397*I397</f>
        <v>18</v>
      </c>
      <c r="M397" s="21" t="n">
        <f aca="false">K397-L397</f>
        <v>10.8</v>
      </c>
      <c r="N397" s="11" t="str">
        <f aca="false">TEXT(B397,"mmm")</f>
        <v>Apr</v>
      </c>
    </row>
    <row r="398" customFormat="false" ht="15" hidden="false" customHeight="false" outlineLevel="0" collapsed="false">
      <c r="A398" s="11" t="s">
        <v>459</v>
      </c>
      <c r="B398" s="20" t="n">
        <v>45775</v>
      </c>
      <c r="C398" s="11" t="s">
        <v>24</v>
      </c>
      <c r="D398" s="11" t="s">
        <v>37</v>
      </c>
      <c r="E398" s="11" t="s">
        <v>52</v>
      </c>
      <c r="F398" s="11" t="s">
        <v>44</v>
      </c>
      <c r="G398" s="11" t="n">
        <v>39</v>
      </c>
      <c r="H398" s="21" t="n">
        <v>12</v>
      </c>
      <c r="I398" s="21" t="n">
        <v>6</v>
      </c>
      <c r="J398" s="22" t="n">
        <v>0</v>
      </c>
      <c r="K398" s="21" t="n">
        <f aca="false">G398*H398*(1-J398)</f>
        <v>468</v>
      </c>
      <c r="L398" s="21" t="n">
        <f aca="false">G398*I398</f>
        <v>234</v>
      </c>
      <c r="M398" s="21" t="n">
        <f aca="false">K398-L398</f>
        <v>234</v>
      </c>
      <c r="N398" s="11" t="str">
        <f aca="false">TEXT(B398,"mmm")</f>
        <v>Apr</v>
      </c>
    </row>
    <row r="399" customFormat="false" ht="15" hidden="false" customHeight="false" outlineLevel="0" collapsed="false">
      <c r="A399" s="11" t="s">
        <v>460</v>
      </c>
      <c r="B399" s="20" t="n">
        <v>45775</v>
      </c>
      <c r="C399" s="11" t="s">
        <v>22</v>
      </c>
      <c r="D399" s="11" t="s">
        <v>37</v>
      </c>
      <c r="E399" s="11" t="s">
        <v>52</v>
      </c>
      <c r="F399" s="11" t="s">
        <v>42</v>
      </c>
      <c r="G399" s="11" t="n">
        <v>25</v>
      </c>
      <c r="H399" s="21" t="n">
        <v>12</v>
      </c>
      <c r="I399" s="21" t="n">
        <v>6</v>
      </c>
      <c r="J399" s="22" t="n">
        <v>0</v>
      </c>
      <c r="K399" s="21" t="n">
        <f aca="false">G399*H399*(1-J399)</f>
        <v>300</v>
      </c>
      <c r="L399" s="21" t="n">
        <f aca="false">G399*I399</f>
        <v>150</v>
      </c>
      <c r="M399" s="21" t="n">
        <f aca="false">K399-L399</f>
        <v>150</v>
      </c>
      <c r="N399" s="11" t="str">
        <f aca="false">TEXT(B399,"mmm")</f>
        <v>Apr</v>
      </c>
    </row>
    <row r="400" customFormat="false" ht="15" hidden="false" customHeight="false" outlineLevel="0" collapsed="false">
      <c r="A400" s="11" t="s">
        <v>461</v>
      </c>
      <c r="B400" s="20" t="n">
        <v>45778</v>
      </c>
      <c r="C400" s="11" t="s">
        <v>20</v>
      </c>
      <c r="D400" s="11" t="s">
        <v>37</v>
      </c>
      <c r="E400" s="11" t="s">
        <v>53</v>
      </c>
      <c r="F400" s="11" t="s">
        <v>42</v>
      </c>
      <c r="G400" s="11" t="n">
        <v>8</v>
      </c>
      <c r="H400" s="21" t="n">
        <v>9</v>
      </c>
      <c r="I400" s="21" t="n">
        <v>4.5</v>
      </c>
      <c r="J400" s="22" t="n">
        <v>0.05</v>
      </c>
      <c r="K400" s="21" t="n">
        <f aca="false">G400*H400*(1-J400)</f>
        <v>68.4</v>
      </c>
      <c r="L400" s="21" t="n">
        <f aca="false">G400*I400</f>
        <v>36</v>
      </c>
      <c r="M400" s="21" t="n">
        <f aca="false">K400-L400</f>
        <v>32.4</v>
      </c>
      <c r="N400" s="11" t="str">
        <f aca="false">TEXT(B400,"mmm")</f>
        <v>May</v>
      </c>
    </row>
    <row r="401" customFormat="false" ht="15" hidden="false" customHeight="false" outlineLevel="0" collapsed="false">
      <c r="A401" s="11" t="s">
        <v>462</v>
      </c>
      <c r="B401" s="20" t="n">
        <v>45778</v>
      </c>
      <c r="C401" s="11" t="s">
        <v>22</v>
      </c>
      <c r="D401" s="11" t="s">
        <v>35</v>
      </c>
      <c r="E401" s="11" t="s">
        <v>54</v>
      </c>
      <c r="F401" s="11" t="s">
        <v>42</v>
      </c>
      <c r="G401" s="11" t="n">
        <v>3</v>
      </c>
      <c r="H401" s="21" t="n">
        <v>320</v>
      </c>
      <c r="I401" s="21" t="n">
        <v>185</v>
      </c>
      <c r="J401" s="22" t="n">
        <v>0.1</v>
      </c>
      <c r="K401" s="21" t="n">
        <f aca="false">G401*H401*(1-J401)</f>
        <v>864</v>
      </c>
      <c r="L401" s="21" t="n">
        <f aca="false">G401*I401</f>
        <v>555</v>
      </c>
      <c r="M401" s="21" t="n">
        <f aca="false">K401-L401</f>
        <v>309</v>
      </c>
      <c r="N401" s="11" t="str">
        <f aca="false">TEXT(B401,"mmm")</f>
        <v>May</v>
      </c>
    </row>
    <row r="402" customFormat="false" ht="15" hidden="false" customHeight="false" outlineLevel="0" collapsed="false">
      <c r="A402" s="11" t="s">
        <v>463</v>
      </c>
      <c r="B402" s="20" t="n">
        <v>45778</v>
      </c>
      <c r="C402" s="11" t="s">
        <v>18</v>
      </c>
      <c r="D402" s="11" t="s">
        <v>35</v>
      </c>
      <c r="E402" s="11" t="s">
        <v>55</v>
      </c>
      <c r="F402" s="11" t="s">
        <v>44</v>
      </c>
      <c r="G402" s="11" t="n">
        <v>3</v>
      </c>
      <c r="H402" s="21" t="n">
        <v>150</v>
      </c>
      <c r="I402" s="21" t="n">
        <v>82</v>
      </c>
      <c r="J402" s="22" t="n">
        <v>0.05</v>
      </c>
      <c r="K402" s="21" t="n">
        <f aca="false">G402*H402*(1-J402)</f>
        <v>427.5</v>
      </c>
      <c r="L402" s="21" t="n">
        <f aca="false">G402*I402</f>
        <v>246</v>
      </c>
      <c r="M402" s="21" t="n">
        <f aca="false">K402-L402</f>
        <v>181.5</v>
      </c>
      <c r="N402" s="11" t="str">
        <f aca="false">TEXT(B402,"mmm")</f>
        <v>May</v>
      </c>
    </row>
    <row r="403" customFormat="false" ht="15" hidden="false" customHeight="false" outlineLevel="0" collapsed="false">
      <c r="A403" s="11" t="s">
        <v>464</v>
      </c>
      <c r="B403" s="20" t="n">
        <v>45778</v>
      </c>
      <c r="C403" s="11" t="s">
        <v>22</v>
      </c>
      <c r="D403" s="11" t="s">
        <v>37</v>
      </c>
      <c r="E403" s="11" t="s">
        <v>52</v>
      </c>
      <c r="F403" s="11" t="s">
        <v>42</v>
      </c>
      <c r="G403" s="11" t="n">
        <v>22</v>
      </c>
      <c r="H403" s="21" t="n">
        <v>12</v>
      </c>
      <c r="I403" s="21" t="n">
        <v>6</v>
      </c>
      <c r="J403" s="22" t="n">
        <v>0.05</v>
      </c>
      <c r="K403" s="21" t="n">
        <f aca="false">G403*H403*(1-J403)</f>
        <v>250.8</v>
      </c>
      <c r="L403" s="21" t="n">
        <f aca="false">G403*I403</f>
        <v>132</v>
      </c>
      <c r="M403" s="21" t="n">
        <f aca="false">K403-L403</f>
        <v>118.8</v>
      </c>
      <c r="N403" s="11" t="str">
        <f aca="false">TEXT(B403,"mmm")</f>
        <v>May</v>
      </c>
    </row>
    <row r="404" customFormat="false" ht="15" hidden="false" customHeight="false" outlineLevel="0" collapsed="false">
      <c r="A404" s="11" t="s">
        <v>465</v>
      </c>
      <c r="B404" s="20" t="n">
        <v>45779</v>
      </c>
      <c r="C404" s="11" t="s">
        <v>22</v>
      </c>
      <c r="D404" s="11" t="s">
        <v>37</v>
      </c>
      <c r="E404" s="11" t="s">
        <v>53</v>
      </c>
      <c r="F404" s="11" t="s">
        <v>44</v>
      </c>
      <c r="G404" s="11" t="n">
        <v>11</v>
      </c>
      <c r="H404" s="21" t="n">
        <v>9</v>
      </c>
      <c r="I404" s="21" t="n">
        <v>4.5</v>
      </c>
      <c r="J404" s="22" t="n">
        <v>0</v>
      </c>
      <c r="K404" s="21" t="n">
        <f aca="false">G404*H404*(1-J404)</f>
        <v>99</v>
      </c>
      <c r="L404" s="21" t="n">
        <f aca="false">G404*I404</f>
        <v>49.5</v>
      </c>
      <c r="M404" s="21" t="n">
        <f aca="false">K404-L404</f>
        <v>49.5</v>
      </c>
      <c r="N404" s="11" t="str">
        <f aca="false">TEXT(B404,"mmm")</f>
        <v>May</v>
      </c>
    </row>
    <row r="405" customFormat="false" ht="15" hidden="false" customHeight="false" outlineLevel="0" collapsed="false">
      <c r="A405" s="11" t="s">
        <v>466</v>
      </c>
      <c r="B405" s="20" t="n">
        <v>45779</v>
      </c>
      <c r="C405" s="11" t="s">
        <v>18</v>
      </c>
      <c r="D405" s="11" t="s">
        <v>33</v>
      </c>
      <c r="E405" s="11" t="s">
        <v>51</v>
      </c>
      <c r="F405" s="11" t="s">
        <v>45</v>
      </c>
      <c r="G405" s="11" t="n">
        <v>3</v>
      </c>
      <c r="H405" s="21" t="n">
        <v>90</v>
      </c>
      <c r="I405" s="21" t="n">
        <v>58</v>
      </c>
      <c r="J405" s="22" t="n">
        <v>0.15</v>
      </c>
      <c r="K405" s="21" t="n">
        <f aca="false">G405*H405*(1-J405)</f>
        <v>229.5</v>
      </c>
      <c r="L405" s="21" t="n">
        <f aca="false">G405*I405</f>
        <v>174</v>
      </c>
      <c r="M405" s="21" t="n">
        <f aca="false">K405-L405</f>
        <v>55.5</v>
      </c>
      <c r="N405" s="11" t="str">
        <f aca="false">TEXT(B405,"mmm")</f>
        <v>May</v>
      </c>
    </row>
    <row r="406" customFormat="false" ht="15" hidden="false" customHeight="false" outlineLevel="0" collapsed="false">
      <c r="A406" s="11" t="s">
        <v>467</v>
      </c>
      <c r="B406" s="20" t="n">
        <v>45779</v>
      </c>
      <c r="C406" s="11" t="s">
        <v>22</v>
      </c>
      <c r="D406" s="11" t="s">
        <v>33</v>
      </c>
      <c r="E406" s="11" t="s">
        <v>48</v>
      </c>
      <c r="F406" s="11" t="s">
        <v>45</v>
      </c>
      <c r="G406" s="11" t="n">
        <v>3</v>
      </c>
      <c r="H406" s="21" t="n">
        <v>520</v>
      </c>
      <c r="I406" s="21" t="n">
        <v>415</v>
      </c>
      <c r="J406" s="22" t="n">
        <v>0.1</v>
      </c>
      <c r="K406" s="21" t="n">
        <f aca="false">G406*H406*(1-J406)</f>
        <v>1404</v>
      </c>
      <c r="L406" s="21" t="n">
        <f aca="false">G406*I406</f>
        <v>1245</v>
      </c>
      <c r="M406" s="21" t="n">
        <f aca="false">K406-L406</f>
        <v>159</v>
      </c>
      <c r="N406" s="11" t="str">
        <f aca="false">TEXT(B406,"mmm")</f>
        <v>May</v>
      </c>
    </row>
    <row r="407" customFormat="false" ht="15" hidden="false" customHeight="false" outlineLevel="0" collapsed="false">
      <c r="A407" s="11" t="s">
        <v>468</v>
      </c>
      <c r="B407" s="20" t="n">
        <v>45779</v>
      </c>
      <c r="C407" s="11" t="s">
        <v>22</v>
      </c>
      <c r="D407" s="11" t="s">
        <v>35</v>
      </c>
      <c r="E407" s="11" t="s">
        <v>55</v>
      </c>
      <c r="F407" s="11" t="s">
        <v>42</v>
      </c>
      <c r="G407" s="11" t="n">
        <v>2</v>
      </c>
      <c r="H407" s="21" t="n">
        <v>150</v>
      </c>
      <c r="I407" s="21" t="n">
        <v>82</v>
      </c>
      <c r="J407" s="22" t="n">
        <v>0.15</v>
      </c>
      <c r="K407" s="21" t="n">
        <f aca="false">G407*H407*(1-J407)</f>
        <v>255</v>
      </c>
      <c r="L407" s="21" t="n">
        <f aca="false">G407*I407</f>
        <v>164</v>
      </c>
      <c r="M407" s="21" t="n">
        <f aca="false">K407-L407</f>
        <v>91</v>
      </c>
      <c r="N407" s="11" t="str">
        <f aca="false">TEXT(B407,"mmm")</f>
        <v>May</v>
      </c>
    </row>
    <row r="408" customFormat="false" ht="15" hidden="false" customHeight="false" outlineLevel="0" collapsed="false">
      <c r="A408" s="11" t="s">
        <v>469</v>
      </c>
      <c r="B408" s="20" t="n">
        <v>45780</v>
      </c>
      <c r="C408" s="11" t="s">
        <v>24</v>
      </c>
      <c r="D408" s="11" t="s">
        <v>33</v>
      </c>
      <c r="E408" s="11" t="s">
        <v>48</v>
      </c>
      <c r="F408" s="11" t="s">
        <v>42</v>
      </c>
      <c r="G408" s="11" t="n">
        <v>3</v>
      </c>
      <c r="H408" s="21" t="n">
        <v>520</v>
      </c>
      <c r="I408" s="21" t="n">
        <v>415</v>
      </c>
      <c r="J408" s="22" t="n">
        <v>0.1</v>
      </c>
      <c r="K408" s="21" t="n">
        <f aca="false">G408*H408*(1-J408)</f>
        <v>1404</v>
      </c>
      <c r="L408" s="21" t="n">
        <f aca="false">G408*I408</f>
        <v>1245</v>
      </c>
      <c r="M408" s="21" t="n">
        <f aca="false">K408-L408</f>
        <v>159</v>
      </c>
      <c r="N408" s="11" t="str">
        <f aca="false">TEXT(B408,"mmm")</f>
        <v>May</v>
      </c>
    </row>
    <row r="409" customFormat="false" ht="15" hidden="false" customHeight="false" outlineLevel="0" collapsed="false">
      <c r="A409" s="11" t="s">
        <v>470</v>
      </c>
      <c r="B409" s="20" t="n">
        <v>45780</v>
      </c>
      <c r="C409" s="11" t="s">
        <v>20</v>
      </c>
      <c r="D409" s="11" t="s">
        <v>35</v>
      </c>
      <c r="E409" s="11" t="s">
        <v>54</v>
      </c>
      <c r="F409" s="11" t="s">
        <v>42</v>
      </c>
      <c r="G409" s="11" t="n">
        <v>3</v>
      </c>
      <c r="H409" s="21" t="n">
        <v>320</v>
      </c>
      <c r="I409" s="21" t="n">
        <v>185</v>
      </c>
      <c r="J409" s="22" t="n">
        <v>0.05</v>
      </c>
      <c r="K409" s="21" t="n">
        <f aca="false">G409*H409*(1-J409)</f>
        <v>912</v>
      </c>
      <c r="L409" s="21" t="n">
        <f aca="false">G409*I409</f>
        <v>555</v>
      </c>
      <c r="M409" s="21" t="n">
        <f aca="false">K409-L409</f>
        <v>357</v>
      </c>
      <c r="N409" s="11" t="str">
        <f aca="false">TEXT(B409,"mmm")</f>
        <v>May</v>
      </c>
    </row>
    <row r="410" customFormat="false" ht="15" hidden="false" customHeight="false" outlineLevel="0" collapsed="false">
      <c r="A410" s="11" t="s">
        <v>471</v>
      </c>
      <c r="B410" s="20" t="n">
        <v>45780</v>
      </c>
      <c r="C410" s="11" t="s">
        <v>20</v>
      </c>
      <c r="D410" s="11" t="s">
        <v>33</v>
      </c>
      <c r="E410" s="11" t="s">
        <v>51</v>
      </c>
      <c r="F410" s="11" t="s">
        <v>42</v>
      </c>
      <c r="G410" s="11" t="n">
        <v>5</v>
      </c>
      <c r="H410" s="21" t="n">
        <v>90</v>
      </c>
      <c r="I410" s="21" t="n">
        <v>58</v>
      </c>
      <c r="J410" s="22" t="n">
        <v>0.1</v>
      </c>
      <c r="K410" s="21" t="n">
        <f aca="false">G410*H410*(1-J410)</f>
        <v>405</v>
      </c>
      <c r="L410" s="21" t="n">
        <f aca="false">G410*I410</f>
        <v>290</v>
      </c>
      <c r="M410" s="21" t="n">
        <f aca="false">K410-L410</f>
        <v>115</v>
      </c>
      <c r="N410" s="11" t="str">
        <f aca="false">TEXT(B410,"mmm")</f>
        <v>May</v>
      </c>
    </row>
    <row r="411" customFormat="false" ht="15" hidden="false" customHeight="false" outlineLevel="0" collapsed="false">
      <c r="A411" s="11" t="s">
        <v>472</v>
      </c>
      <c r="B411" s="20" t="n">
        <v>45781</v>
      </c>
      <c r="C411" s="11" t="s">
        <v>18</v>
      </c>
      <c r="D411" s="11" t="s">
        <v>35</v>
      </c>
      <c r="E411" s="11" t="s">
        <v>54</v>
      </c>
      <c r="F411" s="11" t="s">
        <v>45</v>
      </c>
      <c r="G411" s="11" t="n">
        <v>2</v>
      </c>
      <c r="H411" s="21" t="n">
        <v>320</v>
      </c>
      <c r="I411" s="21" t="n">
        <v>185</v>
      </c>
      <c r="J411" s="22" t="n">
        <v>0.1</v>
      </c>
      <c r="K411" s="21" t="n">
        <f aca="false">G411*H411*(1-J411)</f>
        <v>576</v>
      </c>
      <c r="L411" s="21" t="n">
        <f aca="false">G411*I411</f>
        <v>370</v>
      </c>
      <c r="M411" s="21" t="n">
        <f aca="false">K411-L411</f>
        <v>206</v>
      </c>
      <c r="N411" s="11" t="str">
        <f aca="false">TEXT(B411,"mmm")</f>
        <v>May</v>
      </c>
    </row>
    <row r="412" customFormat="false" ht="15" hidden="false" customHeight="false" outlineLevel="0" collapsed="false">
      <c r="A412" s="11" t="s">
        <v>473</v>
      </c>
      <c r="B412" s="20" t="n">
        <v>45781</v>
      </c>
      <c r="C412" s="11" t="s">
        <v>20</v>
      </c>
      <c r="D412" s="11" t="s">
        <v>33</v>
      </c>
      <c r="E412" s="11" t="s">
        <v>51</v>
      </c>
      <c r="F412" s="11" t="s">
        <v>44</v>
      </c>
      <c r="G412" s="11" t="n">
        <v>1</v>
      </c>
      <c r="H412" s="21" t="n">
        <v>90</v>
      </c>
      <c r="I412" s="21" t="n">
        <v>58</v>
      </c>
      <c r="J412" s="22" t="n">
        <v>0</v>
      </c>
      <c r="K412" s="21" t="n">
        <f aca="false">G412*H412*(1-J412)</f>
        <v>90</v>
      </c>
      <c r="L412" s="21" t="n">
        <f aca="false">G412*I412</f>
        <v>58</v>
      </c>
      <c r="M412" s="21" t="n">
        <f aca="false">K412-L412</f>
        <v>32</v>
      </c>
      <c r="N412" s="11" t="str">
        <f aca="false">TEXT(B412,"mmm")</f>
        <v>May</v>
      </c>
    </row>
    <row r="413" customFormat="false" ht="15" hidden="false" customHeight="false" outlineLevel="0" collapsed="false">
      <c r="A413" s="11" t="s">
        <v>474</v>
      </c>
      <c r="B413" s="20" t="n">
        <v>45781</v>
      </c>
      <c r="C413" s="11" t="s">
        <v>20</v>
      </c>
      <c r="D413" s="11" t="s">
        <v>37</v>
      </c>
      <c r="E413" s="11" t="s">
        <v>53</v>
      </c>
      <c r="F413" s="11" t="s">
        <v>42</v>
      </c>
      <c r="G413" s="11" t="n">
        <v>9</v>
      </c>
      <c r="H413" s="21" t="n">
        <v>9</v>
      </c>
      <c r="I413" s="21" t="n">
        <v>4.5</v>
      </c>
      <c r="J413" s="22" t="n">
        <v>0</v>
      </c>
      <c r="K413" s="21" t="n">
        <f aca="false">G413*H413*(1-J413)</f>
        <v>81</v>
      </c>
      <c r="L413" s="21" t="n">
        <f aca="false">G413*I413</f>
        <v>40.5</v>
      </c>
      <c r="M413" s="21" t="n">
        <f aca="false">K413-L413</f>
        <v>40.5</v>
      </c>
      <c r="N413" s="11" t="str">
        <f aca="false">TEXT(B413,"mmm")</f>
        <v>May</v>
      </c>
    </row>
    <row r="414" customFormat="false" ht="15" hidden="false" customHeight="false" outlineLevel="0" collapsed="false">
      <c r="A414" s="11" t="s">
        <v>475</v>
      </c>
      <c r="B414" s="20" t="n">
        <v>45781</v>
      </c>
      <c r="C414" s="11" t="s">
        <v>20</v>
      </c>
      <c r="D414" s="11" t="s">
        <v>33</v>
      </c>
      <c r="E414" s="11" t="s">
        <v>51</v>
      </c>
      <c r="F414" s="11" t="s">
        <v>42</v>
      </c>
      <c r="G414" s="11" t="n">
        <v>1</v>
      </c>
      <c r="H414" s="21" t="n">
        <v>90</v>
      </c>
      <c r="I414" s="21" t="n">
        <v>58</v>
      </c>
      <c r="J414" s="22" t="n">
        <v>0.05</v>
      </c>
      <c r="K414" s="21" t="n">
        <f aca="false">G414*H414*(1-J414)</f>
        <v>85.5</v>
      </c>
      <c r="L414" s="21" t="n">
        <f aca="false">G414*I414</f>
        <v>58</v>
      </c>
      <c r="M414" s="21" t="n">
        <f aca="false">K414-L414</f>
        <v>27.5</v>
      </c>
      <c r="N414" s="11" t="str">
        <f aca="false">TEXT(B414,"mmm")</f>
        <v>May</v>
      </c>
    </row>
    <row r="415" customFormat="false" ht="15" hidden="false" customHeight="false" outlineLevel="0" collapsed="false">
      <c r="A415" s="11" t="s">
        <v>476</v>
      </c>
      <c r="B415" s="20" t="n">
        <v>45781</v>
      </c>
      <c r="C415" s="11" t="s">
        <v>20</v>
      </c>
      <c r="D415" s="11" t="s">
        <v>37</v>
      </c>
      <c r="E415" s="11" t="s">
        <v>52</v>
      </c>
      <c r="F415" s="11" t="s">
        <v>44</v>
      </c>
      <c r="G415" s="11" t="n">
        <v>29</v>
      </c>
      <c r="H415" s="21" t="n">
        <v>12</v>
      </c>
      <c r="I415" s="21" t="n">
        <v>6</v>
      </c>
      <c r="J415" s="22" t="n">
        <v>0</v>
      </c>
      <c r="K415" s="21" t="n">
        <f aca="false">G415*H415*(1-J415)</f>
        <v>348</v>
      </c>
      <c r="L415" s="21" t="n">
        <f aca="false">G415*I415</f>
        <v>174</v>
      </c>
      <c r="M415" s="21" t="n">
        <f aca="false">K415-L415</f>
        <v>174</v>
      </c>
      <c r="N415" s="11" t="str">
        <f aca="false">TEXT(B415,"mmm")</f>
        <v>May</v>
      </c>
    </row>
    <row r="416" customFormat="false" ht="15" hidden="false" customHeight="false" outlineLevel="0" collapsed="false">
      <c r="A416" s="11" t="s">
        <v>477</v>
      </c>
      <c r="B416" s="20" t="n">
        <v>45782</v>
      </c>
      <c r="C416" s="11" t="s">
        <v>22</v>
      </c>
      <c r="D416" s="11" t="s">
        <v>33</v>
      </c>
      <c r="E416" s="11" t="s">
        <v>51</v>
      </c>
      <c r="F416" s="11" t="s">
        <v>42</v>
      </c>
      <c r="G416" s="11" t="n">
        <v>1</v>
      </c>
      <c r="H416" s="21" t="n">
        <v>90</v>
      </c>
      <c r="I416" s="21" t="n">
        <v>58</v>
      </c>
      <c r="J416" s="22" t="n">
        <v>0.15</v>
      </c>
      <c r="K416" s="21" t="n">
        <f aca="false">G416*H416*(1-J416)</f>
        <v>76.5</v>
      </c>
      <c r="L416" s="21" t="n">
        <f aca="false">G416*I416</f>
        <v>58</v>
      </c>
      <c r="M416" s="21" t="n">
        <f aca="false">K416-L416</f>
        <v>18.5</v>
      </c>
      <c r="N416" s="11" t="str">
        <f aca="false">TEXT(B416,"mmm")</f>
        <v>May</v>
      </c>
    </row>
    <row r="417" customFormat="false" ht="15" hidden="false" customHeight="false" outlineLevel="0" collapsed="false">
      <c r="A417" s="11" t="s">
        <v>478</v>
      </c>
      <c r="B417" s="20" t="n">
        <v>45782</v>
      </c>
      <c r="C417" s="11" t="s">
        <v>18</v>
      </c>
      <c r="D417" s="11" t="s">
        <v>37</v>
      </c>
      <c r="E417" s="11" t="s">
        <v>52</v>
      </c>
      <c r="F417" s="11" t="s">
        <v>42</v>
      </c>
      <c r="G417" s="11" t="n">
        <v>8</v>
      </c>
      <c r="H417" s="21" t="n">
        <v>12</v>
      </c>
      <c r="I417" s="21" t="n">
        <v>6</v>
      </c>
      <c r="J417" s="22" t="n">
        <v>0.1</v>
      </c>
      <c r="K417" s="21" t="n">
        <f aca="false">G417*H417*(1-J417)</f>
        <v>86.4</v>
      </c>
      <c r="L417" s="21" t="n">
        <f aca="false">G417*I417</f>
        <v>48</v>
      </c>
      <c r="M417" s="21" t="n">
        <f aca="false">K417-L417</f>
        <v>38.4</v>
      </c>
      <c r="N417" s="11" t="str">
        <f aca="false">TEXT(B417,"mmm")</f>
        <v>May</v>
      </c>
    </row>
    <row r="418" customFormat="false" ht="15" hidden="false" customHeight="false" outlineLevel="0" collapsed="false">
      <c r="A418" s="11" t="s">
        <v>479</v>
      </c>
      <c r="B418" s="20" t="n">
        <v>45782</v>
      </c>
      <c r="C418" s="11" t="s">
        <v>18</v>
      </c>
      <c r="D418" s="11" t="s">
        <v>37</v>
      </c>
      <c r="E418" s="11" t="s">
        <v>53</v>
      </c>
      <c r="F418" s="11" t="s">
        <v>42</v>
      </c>
      <c r="G418" s="11" t="n">
        <v>1</v>
      </c>
      <c r="H418" s="21" t="n">
        <v>9</v>
      </c>
      <c r="I418" s="21" t="n">
        <v>4.5</v>
      </c>
      <c r="J418" s="22" t="n">
        <v>0</v>
      </c>
      <c r="K418" s="21" t="n">
        <f aca="false">G418*H418*(1-J418)</f>
        <v>9</v>
      </c>
      <c r="L418" s="21" t="n">
        <f aca="false">G418*I418</f>
        <v>4.5</v>
      </c>
      <c r="M418" s="21" t="n">
        <f aca="false">K418-L418</f>
        <v>4.5</v>
      </c>
      <c r="N418" s="11" t="str">
        <f aca="false">TEXT(B418,"mmm")</f>
        <v>May</v>
      </c>
    </row>
    <row r="419" customFormat="false" ht="15" hidden="false" customHeight="false" outlineLevel="0" collapsed="false">
      <c r="A419" s="11" t="s">
        <v>480</v>
      </c>
      <c r="B419" s="20" t="n">
        <v>45783</v>
      </c>
      <c r="C419" s="11" t="s">
        <v>24</v>
      </c>
      <c r="D419" s="11" t="s">
        <v>35</v>
      </c>
      <c r="E419" s="11" t="s">
        <v>55</v>
      </c>
      <c r="F419" s="11" t="s">
        <v>44</v>
      </c>
      <c r="G419" s="11" t="n">
        <v>2</v>
      </c>
      <c r="H419" s="21" t="n">
        <v>150</v>
      </c>
      <c r="I419" s="21" t="n">
        <v>82</v>
      </c>
      <c r="J419" s="22" t="n">
        <v>0.05</v>
      </c>
      <c r="K419" s="21" t="n">
        <f aca="false">G419*H419*(1-J419)</f>
        <v>285</v>
      </c>
      <c r="L419" s="21" t="n">
        <f aca="false">G419*I419</f>
        <v>164</v>
      </c>
      <c r="M419" s="21" t="n">
        <f aca="false">K419-L419</f>
        <v>121</v>
      </c>
      <c r="N419" s="11" t="str">
        <f aca="false">TEXT(B419,"mmm")</f>
        <v>May</v>
      </c>
    </row>
    <row r="420" customFormat="false" ht="15" hidden="false" customHeight="false" outlineLevel="0" collapsed="false">
      <c r="A420" s="11" t="s">
        <v>481</v>
      </c>
      <c r="B420" s="20" t="n">
        <v>45783</v>
      </c>
      <c r="C420" s="11" t="s">
        <v>24</v>
      </c>
      <c r="D420" s="11" t="s">
        <v>33</v>
      </c>
      <c r="E420" s="11" t="s">
        <v>48</v>
      </c>
      <c r="F420" s="11" t="s">
        <v>42</v>
      </c>
      <c r="G420" s="11" t="n">
        <v>2</v>
      </c>
      <c r="H420" s="21" t="n">
        <v>520</v>
      </c>
      <c r="I420" s="21" t="n">
        <v>415</v>
      </c>
      <c r="J420" s="22" t="n">
        <v>0.1</v>
      </c>
      <c r="K420" s="21" t="n">
        <f aca="false">G420*H420*(1-J420)</f>
        <v>936</v>
      </c>
      <c r="L420" s="21" t="n">
        <f aca="false">G420*I420</f>
        <v>830</v>
      </c>
      <c r="M420" s="21" t="n">
        <f aca="false">K420-L420</f>
        <v>106</v>
      </c>
      <c r="N420" s="11" t="str">
        <f aca="false">TEXT(B420,"mmm")</f>
        <v>May</v>
      </c>
    </row>
    <row r="421" customFormat="false" ht="15" hidden="false" customHeight="false" outlineLevel="0" collapsed="false">
      <c r="A421" s="11" t="s">
        <v>482</v>
      </c>
      <c r="B421" s="20" t="n">
        <v>45783</v>
      </c>
      <c r="C421" s="11" t="s">
        <v>20</v>
      </c>
      <c r="D421" s="11" t="s">
        <v>35</v>
      </c>
      <c r="E421" s="11" t="s">
        <v>55</v>
      </c>
      <c r="F421" s="11" t="s">
        <v>42</v>
      </c>
      <c r="G421" s="11" t="n">
        <v>2</v>
      </c>
      <c r="H421" s="21" t="n">
        <v>150</v>
      </c>
      <c r="I421" s="21" t="n">
        <v>82</v>
      </c>
      <c r="J421" s="22" t="n">
        <v>0.05</v>
      </c>
      <c r="K421" s="21" t="n">
        <f aca="false">G421*H421*(1-J421)</f>
        <v>285</v>
      </c>
      <c r="L421" s="21" t="n">
        <f aca="false">G421*I421</f>
        <v>164</v>
      </c>
      <c r="M421" s="21" t="n">
        <f aca="false">K421-L421</f>
        <v>121</v>
      </c>
      <c r="N421" s="11" t="str">
        <f aca="false">TEXT(B421,"mmm")</f>
        <v>May</v>
      </c>
    </row>
    <row r="422" customFormat="false" ht="15" hidden="false" customHeight="false" outlineLevel="0" collapsed="false">
      <c r="A422" s="11" t="s">
        <v>483</v>
      </c>
      <c r="B422" s="20" t="n">
        <v>45783</v>
      </c>
      <c r="C422" s="11" t="s">
        <v>20</v>
      </c>
      <c r="D422" s="11" t="s">
        <v>37</v>
      </c>
      <c r="E422" s="11" t="s">
        <v>53</v>
      </c>
      <c r="F422" s="11" t="s">
        <v>44</v>
      </c>
      <c r="G422" s="11" t="n">
        <v>21</v>
      </c>
      <c r="H422" s="21" t="n">
        <v>9</v>
      </c>
      <c r="I422" s="21" t="n">
        <v>4.5</v>
      </c>
      <c r="J422" s="22" t="n">
        <v>0.05</v>
      </c>
      <c r="K422" s="21" t="n">
        <f aca="false">G422*H422*(1-J422)</f>
        <v>179.55</v>
      </c>
      <c r="L422" s="21" t="n">
        <f aca="false">G422*I422</f>
        <v>94.5</v>
      </c>
      <c r="M422" s="21" t="n">
        <f aca="false">K422-L422</f>
        <v>85.05</v>
      </c>
      <c r="N422" s="11" t="str">
        <f aca="false">TEXT(B422,"mmm")</f>
        <v>May</v>
      </c>
    </row>
    <row r="423" customFormat="false" ht="15" hidden="false" customHeight="false" outlineLevel="0" collapsed="false">
      <c r="A423" s="11" t="s">
        <v>484</v>
      </c>
      <c r="B423" s="20" t="n">
        <v>45783</v>
      </c>
      <c r="C423" s="11" t="s">
        <v>24</v>
      </c>
      <c r="D423" s="11" t="s">
        <v>37</v>
      </c>
      <c r="E423" s="11" t="s">
        <v>49</v>
      </c>
      <c r="F423" s="11" t="s">
        <v>44</v>
      </c>
      <c r="G423" s="11" t="n">
        <v>33</v>
      </c>
      <c r="H423" s="21" t="n">
        <v>28</v>
      </c>
      <c r="I423" s="21" t="n">
        <v>17</v>
      </c>
      <c r="J423" s="22" t="n">
        <v>0.05</v>
      </c>
      <c r="K423" s="21" t="n">
        <f aca="false">G423*H423*(1-J423)</f>
        <v>877.8</v>
      </c>
      <c r="L423" s="21" t="n">
        <f aca="false">G423*I423</f>
        <v>561</v>
      </c>
      <c r="M423" s="21" t="n">
        <f aca="false">K423-L423</f>
        <v>316.8</v>
      </c>
      <c r="N423" s="11" t="str">
        <f aca="false">TEXT(B423,"mmm")</f>
        <v>May</v>
      </c>
    </row>
    <row r="424" customFormat="false" ht="15" hidden="false" customHeight="false" outlineLevel="0" collapsed="false">
      <c r="A424" s="11" t="s">
        <v>485</v>
      </c>
      <c r="B424" s="20" t="n">
        <v>45783</v>
      </c>
      <c r="C424" s="11" t="s">
        <v>22</v>
      </c>
      <c r="D424" s="11" t="s">
        <v>33</v>
      </c>
      <c r="E424" s="11" t="s">
        <v>51</v>
      </c>
      <c r="F424" s="11" t="s">
        <v>44</v>
      </c>
      <c r="G424" s="11" t="n">
        <v>4</v>
      </c>
      <c r="H424" s="21" t="n">
        <v>90</v>
      </c>
      <c r="I424" s="21" t="n">
        <v>58</v>
      </c>
      <c r="J424" s="22" t="n">
        <v>0.05</v>
      </c>
      <c r="K424" s="21" t="n">
        <f aca="false">G424*H424*(1-J424)</f>
        <v>342</v>
      </c>
      <c r="L424" s="21" t="n">
        <f aca="false">G424*I424</f>
        <v>232</v>
      </c>
      <c r="M424" s="21" t="n">
        <f aca="false">K424-L424</f>
        <v>110</v>
      </c>
      <c r="N424" s="11" t="str">
        <f aca="false">TEXT(B424,"mmm")</f>
        <v>May</v>
      </c>
    </row>
    <row r="425" customFormat="false" ht="15" hidden="false" customHeight="false" outlineLevel="0" collapsed="false">
      <c r="A425" s="11" t="s">
        <v>486</v>
      </c>
      <c r="B425" s="20" t="n">
        <v>45784</v>
      </c>
      <c r="C425" s="11" t="s">
        <v>22</v>
      </c>
      <c r="D425" s="11" t="s">
        <v>33</v>
      </c>
      <c r="E425" s="11" t="s">
        <v>51</v>
      </c>
      <c r="F425" s="11" t="s">
        <v>44</v>
      </c>
      <c r="G425" s="11" t="n">
        <v>1</v>
      </c>
      <c r="H425" s="21" t="n">
        <v>90</v>
      </c>
      <c r="I425" s="21" t="n">
        <v>58</v>
      </c>
      <c r="J425" s="22" t="n">
        <v>0</v>
      </c>
      <c r="K425" s="21" t="n">
        <f aca="false">G425*H425*(1-J425)</f>
        <v>90</v>
      </c>
      <c r="L425" s="21" t="n">
        <f aca="false">G425*I425</f>
        <v>58</v>
      </c>
      <c r="M425" s="21" t="n">
        <f aca="false">K425-L425</f>
        <v>32</v>
      </c>
      <c r="N425" s="11" t="str">
        <f aca="false">TEXT(B425,"mmm")</f>
        <v>May</v>
      </c>
    </row>
    <row r="426" customFormat="false" ht="15" hidden="false" customHeight="false" outlineLevel="0" collapsed="false">
      <c r="A426" s="11" t="s">
        <v>487</v>
      </c>
      <c r="B426" s="20" t="n">
        <v>45784</v>
      </c>
      <c r="C426" s="11" t="s">
        <v>20</v>
      </c>
      <c r="D426" s="11" t="s">
        <v>37</v>
      </c>
      <c r="E426" s="11" t="s">
        <v>53</v>
      </c>
      <c r="F426" s="11" t="s">
        <v>42</v>
      </c>
      <c r="G426" s="11" t="n">
        <v>32</v>
      </c>
      <c r="H426" s="21" t="n">
        <v>9</v>
      </c>
      <c r="I426" s="21" t="n">
        <v>4.5</v>
      </c>
      <c r="J426" s="22" t="n">
        <v>0.05</v>
      </c>
      <c r="K426" s="21" t="n">
        <f aca="false">G426*H426*(1-J426)</f>
        <v>273.6</v>
      </c>
      <c r="L426" s="21" t="n">
        <f aca="false">G426*I426</f>
        <v>144</v>
      </c>
      <c r="M426" s="21" t="n">
        <f aca="false">K426-L426</f>
        <v>129.6</v>
      </c>
      <c r="N426" s="11" t="str">
        <f aca="false">TEXT(B426,"mmm")</f>
        <v>May</v>
      </c>
    </row>
    <row r="427" customFormat="false" ht="15" hidden="false" customHeight="false" outlineLevel="0" collapsed="false">
      <c r="A427" s="11" t="s">
        <v>488</v>
      </c>
      <c r="B427" s="20" t="n">
        <v>45784</v>
      </c>
      <c r="C427" s="11" t="s">
        <v>18</v>
      </c>
      <c r="D427" s="11" t="s">
        <v>37</v>
      </c>
      <c r="E427" s="11" t="s">
        <v>49</v>
      </c>
      <c r="F427" s="11" t="s">
        <v>42</v>
      </c>
      <c r="G427" s="11" t="n">
        <v>8</v>
      </c>
      <c r="H427" s="21" t="n">
        <v>28</v>
      </c>
      <c r="I427" s="21" t="n">
        <v>17</v>
      </c>
      <c r="J427" s="22" t="n">
        <v>0.1</v>
      </c>
      <c r="K427" s="21" t="n">
        <f aca="false">G427*H427*(1-J427)</f>
        <v>201.6</v>
      </c>
      <c r="L427" s="21" t="n">
        <f aca="false">G427*I427</f>
        <v>136</v>
      </c>
      <c r="M427" s="21" t="n">
        <f aca="false">K427-L427</f>
        <v>65.6</v>
      </c>
      <c r="N427" s="11" t="str">
        <f aca="false">TEXT(B427,"mmm")</f>
        <v>May</v>
      </c>
    </row>
    <row r="428" customFormat="false" ht="15" hidden="false" customHeight="false" outlineLevel="0" collapsed="false">
      <c r="A428" s="11" t="s">
        <v>489</v>
      </c>
      <c r="B428" s="20" t="n">
        <v>45784</v>
      </c>
      <c r="C428" s="11" t="s">
        <v>20</v>
      </c>
      <c r="D428" s="11" t="s">
        <v>35</v>
      </c>
      <c r="E428" s="11" t="s">
        <v>56</v>
      </c>
      <c r="F428" s="11" t="s">
        <v>42</v>
      </c>
      <c r="G428" s="11" t="n">
        <v>3</v>
      </c>
      <c r="H428" s="21" t="n">
        <v>110</v>
      </c>
      <c r="I428" s="21" t="n">
        <v>62</v>
      </c>
      <c r="J428" s="22" t="n">
        <v>0.15</v>
      </c>
      <c r="K428" s="21" t="n">
        <f aca="false">G428*H428*(1-J428)</f>
        <v>280.5</v>
      </c>
      <c r="L428" s="21" t="n">
        <f aca="false">G428*I428</f>
        <v>186</v>
      </c>
      <c r="M428" s="21" t="n">
        <f aca="false">K428-L428</f>
        <v>94.5</v>
      </c>
      <c r="N428" s="11" t="str">
        <f aca="false">TEXT(B428,"mmm")</f>
        <v>May</v>
      </c>
    </row>
    <row r="429" customFormat="false" ht="15" hidden="false" customHeight="false" outlineLevel="0" collapsed="false">
      <c r="A429" s="11" t="s">
        <v>490</v>
      </c>
      <c r="B429" s="20" t="n">
        <v>45786</v>
      </c>
      <c r="C429" s="11" t="s">
        <v>20</v>
      </c>
      <c r="D429" s="11" t="s">
        <v>37</v>
      </c>
      <c r="E429" s="11" t="s">
        <v>53</v>
      </c>
      <c r="F429" s="11" t="s">
        <v>42</v>
      </c>
      <c r="G429" s="11" t="n">
        <v>5</v>
      </c>
      <c r="H429" s="21" t="n">
        <v>9</v>
      </c>
      <c r="I429" s="21" t="n">
        <v>4.5</v>
      </c>
      <c r="J429" s="22" t="n">
        <v>0</v>
      </c>
      <c r="K429" s="21" t="n">
        <f aca="false">G429*H429*(1-J429)</f>
        <v>45</v>
      </c>
      <c r="L429" s="21" t="n">
        <f aca="false">G429*I429</f>
        <v>22.5</v>
      </c>
      <c r="M429" s="21" t="n">
        <f aca="false">K429-L429</f>
        <v>22.5</v>
      </c>
      <c r="N429" s="11" t="str">
        <f aca="false">TEXT(B429,"mmm")</f>
        <v>May</v>
      </c>
    </row>
    <row r="430" customFormat="false" ht="15" hidden="false" customHeight="false" outlineLevel="0" collapsed="false">
      <c r="A430" s="11" t="s">
        <v>491</v>
      </c>
      <c r="B430" s="20" t="n">
        <v>45786</v>
      </c>
      <c r="C430" s="11" t="s">
        <v>18</v>
      </c>
      <c r="D430" s="11" t="s">
        <v>37</v>
      </c>
      <c r="E430" s="11" t="s">
        <v>52</v>
      </c>
      <c r="F430" s="11" t="s">
        <v>42</v>
      </c>
      <c r="G430" s="11" t="n">
        <v>32</v>
      </c>
      <c r="H430" s="21" t="n">
        <v>12</v>
      </c>
      <c r="I430" s="21" t="n">
        <v>6</v>
      </c>
      <c r="J430" s="22" t="n">
        <v>0.05</v>
      </c>
      <c r="K430" s="21" t="n">
        <f aca="false">G430*H430*(1-J430)</f>
        <v>364.8</v>
      </c>
      <c r="L430" s="21" t="n">
        <f aca="false">G430*I430</f>
        <v>192</v>
      </c>
      <c r="M430" s="21" t="n">
        <f aca="false">K430-L430</f>
        <v>172.8</v>
      </c>
      <c r="N430" s="11" t="str">
        <f aca="false">TEXT(B430,"mmm")</f>
        <v>May</v>
      </c>
    </row>
    <row r="431" customFormat="false" ht="15" hidden="false" customHeight="false" outlineLevel="0" collapsed="false">
      <c r="A431" s="11" t="s">
        <v>492</v>
      </c>
      <c r="B431" s="20" t="n">
        <v>45786</v>
      </c>
      <c r="C431" s="11" t="s">
        <v>22</v>
      </c>
      <c r="D431" s="11" t="s">
        <v>37</v>
      </c>
      <c r="E431" s="11" t="s">
        <v>52</v>
      </c>
      <c r="F431" s="11" t="s">
        <v>44</v>
      </c>
      <c r="G431" s="11" t="n">
        <v>5</v>
      </c>
      <c r="H431" s="21" t="n">
        <v>12</v>
      </c>
      <c r="I431" s="21" t="n">
        <v>6</v>
      </c>
      <c r="J431" s="22" t="n">
        <v>0</v>
      </c>
      <c r="K431" s="21" t="n">
        <f aca="false">G431*H431*(1-J431)</f>
        <v>60</v>
      </c>
      <c r="L431" s="21" t="n">
        <f aca="false">G431*I431</f>
        <v>30</v>
      </c>
      <c r="M431" s="21" t="n">
        <f aca="false">K431-L431</f>
        <v>30</v>
      </c>
      <c r="N431" s="11" t="str">
        <f aca="false">TEXT(B431,"mmm")</f>
        <v>May</v>
      </c>
    </row>
    <row r="432" customFormat="false" ht="15" hidden="false" customHeight="false" outlineLevel="0" collapsed="false">
      <c r="A432" s="11" t="s">
        <v>493</v>
      </c>
      <c r="B432" s="20" t="n">
        <v>45786</v>
      </c>
      <c r="C432" s="11" t="s">
        <v>18</v>
      </c>
      <c r="D432" s="11" t="s">
        <v>33</v>
      </c>
      <c r="E432" s="11" t="s">
        <v>51</v>
      </c>
      <c r="F432" s="11" t="s">
        <v>42</v>
      </c>
      <c r="G432" s="11" t="n">
        <v>5</v>
      </c>
      <c r="H432" s="21" t="n">
        <v>90</v>
      </c>
      <c r="I432" s="21" t="n">
        <v>58</v>
      </c>
      <c r="J432" s="22" t="n">
        <v>0.1</v>
      </c>
      <c r="K432" s="21" t="n">
        <f aca="false">G432*H432*(1-J432)</f>
        <v>405</v>
      </c>
      <c r="L432" s="21" t="n">
        <f aca="false">G432*I432</f>
        <v>290</v>
      </c>
      <c r="M432" s="21" t="n">
        <f aca="false">K432-L432</f>
        <v>115</v>
      </c>
      <c r="N432" s="11" t="str">
        <f aca="false">TEXT(B432,"mmm")</f>
        <v>May</v>
      </c>
    </row>
    <row r="433" customFormat="false" ht="15" hidden="false" customHeight="false" outlineLevel="0" collapsed="false">
      <c r="A433" s="11" t="s">
        <v>494</v>
      </c>
      <c r="B433" s="20" t="n">
        <v>45787</v>
      </c>
      <c r="C433" s="11" t="s">
        <v>22</v>
      </c>
      <c r="D433" s="11" t="s">
        <v>37</v>
      </c>
      <c r="E433" s="11" t="s">
        <v>52</v>
      </c>
      <c r="F433" s="11" t="s">
        <v>42</v>
      </c>
      <c r="G433" s="11" t="n">
        <v>36</v>
      </c>
      <c r="H433" s="21" t="n">
        <v>12</v>
      </c>
      <c r="I433" s="21" t="n">
        <v>6</v>
      </c>
      <c r="J433" s="22" t="n">
        <v>0</v>
      </c>
      <c r="K433" s="21" t="n">
        <f aca="false">G433*H433*(1-J433)</f>
        <v>432</v>
      </c>
      <c r="L433" s="21" t="n">
        <f aca="false">G433*I433</f>
        <v>216</v>
      </c>
      <c r="M433" s="21" t="n">
        <f aca="false">K433-L433</f>
        <v>216</v>
      </c>
      <c r="N433" s="11" t="str">
        <f aca="false">TEXT(B433,"mmm")</f>
        <v>May</v>
      </c>
    </row>
    <row r="434" customFormat="false" ht="15" hidden="false" customHeight="false" outlineLevel="0" collapsed="false">
      <c r="A434" s="11" t="s">
        <v>495</v>
      </c>
      <c r="B434" s="20" t="n">
        <v>45787</v>
      </c>
      <c r="C434" s="11" t="s">
        <v>24</v>
      </c>
      <c r="D434" s="11" t="s">
        <v>37</v>
      </c>
      <c r="E434" s="11" t="s">
        <v>49</v>
      </c>
      <c r="F434" s="11" t="s">
        <v>44</v>
      </c>
      <c r="G434" s="11" t="n">
        <v>10</v>
      </c>
      <c r="H434" s="21" t="n">
        <v>28</v>
      </c>
      <c r="I434" s="21" t="n">
        <v>17</v>
      </c>
      <c r="J434" s="22" t="n">
        <v>0</v>
      </c>
      <c r="K434" s="21" t="n">
        <f aca="false">G434*H434*(1-J434)</f>
        <v>280</v>
      </c>
      <c r="L434" s="21" t="n">
        <f aca="false">G434*I434</f>
        <v>170</v>
      </c>
      <c r="M434" s="21" t="n">
        <f aca="false">K434-L434</f>
        <v>110</v>
      </c>
      <c r="N434" s="11" t="str">
        <f aca="false">TEXT(B434,"mmm")</f>
        <v>May</v>
      </c>
    </row>
    <row r="435" customFormat="false" ht="15" hidden="false" customHeight="false" outlineLevel="0" collapsed="false">
      <c r="A435" s="11" t="s">
        <v>496</v>
      </c>
      <c r="B435" s="20" t="n">
        <v>45787</v>
      </c>
      <c r="C435" s="11" t="s">
        <v>18</v>
      </c>
      <c r="D435" s="11" t="s">
        <v>37</v>
      </c>
      <c r="E435" s="11" t="s">
        <v>49</v>
      </c>
      <c r="F435" s="11" t="s">
        <v>42</v>
      </c>
      <c r="G435" s="11" t="n">
        <v>40</v>
      </c>
      <c r="H435" s="21" t="n">
        <v>28</v>
      </c>
      <c r="I435" s="21" t="n">
        <v>17</v>
      </c>
      <c r="J435" s="22" t="n">
        <v>0.05</v>
      </c>
      <c r="K435" s="21" t="n">
        <f aca="false">G435*H435*(1-J435)</f>
        <v>1064</v>
      </c>
      <c r="L435" s="21" t="n">
        <f aca="false">G435*I435</f>
        <v>680</v>
      </c>
      <c r="M435" s="21" t="n">
        <f aca="false">K435-L435</f>
        <v>384</v>
      </c>
      <c r="N435" s="11" t="str">
        <f aca="false">TEXT(B435,"mmm")</f>
        <v>May</v>
      </c>
    </row>
    <row r="436" customFormat="false" ht="15" hidden="false" customHeight="false" outlineLevel="0" collapsed="false">
      <c r="A436" s="11" t="s">
        <v>497</v>
      </c>
      <c r="B436" s="20" t="n">
        <v>45787</v>
      </c>
      <c r="C436" s="11" t="s">
        <v>20</v>
      </c>
      <c r="D436" s="11" t="s">
        <v>33</v>
      </c>
      <c r="E436" s="11" t="s">
        <v>51</v>
      </c>
      <c r="F436" s="11" t="s">
        <v>42</v>
      </c>
      <c r="G436" s="11" t="n">
        <v>2</v>
      </c>
      <c r="H436" s="21" t="n">
        <v>90</v>
      </c>
      <c r="I436" s="21" t="n">
        <v>58</v>
      </c>
      <c r="J436" s="22" t="n">
        <v>0.1</v>
      </c>
      <c r="K436" s="21" t="n">
        <f aca="false">G436*H436*(1-J436)</f>
        <v>162</v>
      </c>
      <c r="L436" s="21" t="n">
        <f aca="false">G436*I436</f>
        <v>116</v>
      </c>
      <c r="M436" s="21" t="n">
        <f aca="false">K436-L436</f>
        <v>46</v>
      </c>
      <c r="N436" s="11" t="str">
        <f aca="false">TEXT(B436,"mmm")</f>
        <v>May</v>
      </c>
    </row>
    <row r="437" customFormat="false" ht="15" hidden="false" customHeight="false" outlineLevel="0" collapsed="false">
      <c r="A437" s="11" t="s">
        <v>498</v>
      </c>
      <c r="B437" s="20" t="n">
        <v>45787</v>
      </c>
      <c r="C437" s="11" t="s">
        <v>20</v>
      </c>
      <c r="D437" s="11" t="s">
        <v>35</v>
      </c>
      <c r="E437" s="11" t="s">
        <v>56</v>
      </c>
      <c r="F437" s="11" t="s">
        <v>42</v>
      </c>
      <c r="G437" s="11" t="n">
        <v>1</v>
      </c>
      <c r="H437" s="21" t="n">
        <v>110</v>
      </c>
      <c r="I437" s="21" t="n">
        <v>62</v>
      </c>
      <c r="J437" s="22" t="n">
        <v>0.05</v>
      </c>
      <c r="K437" s="21" t="n">
        <f aca="false">G437*H437*(1-J437)</f>
        <v>104.5</v>
      </c>
      <c r="L437" s="21" t="n">
        <f aca="false">G437*I437</f>
        <v>62</v>
      </c>
      <c r="M437" s="21" t="n">
        <f aca="false">K437-L437</f>
        <v>42.5</v>
      </c>
      <c r="N437" s="11" t="str">
        <f aca="false">TEXT(B437,"mmm")</f>
        <v>May</v>
      </c>
    </row>
    <row r="438" customFormat="false" ht="15" hidden="false" customHeight="false" outlineLevel="0" collapsed="false">
      <c r="A438" s="11" t="s">
        <v>499</v>
      </c>
      <c r="B438" s="20" t="n">
        <v>45787</v>
      </c>
      <c r="C438" s="11" t="s">
        <v>20</v>
      </c>
      <c r="D438" s="11" t="s">
        <v>33</v>
      </c>
      <c r="E438" s="11" t="s">
        <v>48</v>
      </c>
      <c r="F438" s="11" t="s">
        <v>44</v>
      </c>
      <c r="G438" s="11" t="n">
        <v>2</v>
      </c>
      <c r="H438" s="21" t="n">
        <v>520</v>
      </c>
      <c r="I438" s="21" t="n">
        <v>415</v>
      </c>
      <c r="J438" s="22" t="n">
        <v>0.05</v>
      </c>
      <c r="K438" s="21" t="n">
        <f aca="false">G438*H438*(1-J438)</f>
        <v>988</v>
      </c>
      <c r="L438" s="21" t="n">
        <f aca="false">G438*I438</f>
        <v>830</v>
      </c>
      <c r="M438" s="21" t="n">
        <f aca="false">K438-L438</f>
        <v>158</v>
      </c>
      <c r="N438" s="11" t="str">
        <f aca="false">TEXT(B438,"mmm")</f>
        <v>May</v>
      </c>
    </row>
    <row r="439" customFormat="false" ht="15" hidden="false" customHeight="false" outlineLevel="0" collapsed="false">
      <c r="A439" s="11" t="s">
        <v>500</v>
      </c>
      <c r="B439" s="20" t="n">
        <v>45788</v>
      </c>
      <c r="C439" s="11" t="s">
        <v>22</v>
      </c>
      <c r="D439" s="11" t="s">
        <v>33</v>
      </c>
      <c r="E439" s="11" t="s">
        <v>48</v>
      </c>
      <c r="F439" s="11" t="s">
        <v>44</v>
      </c>
      <c r="G439" s="11" t="n">
        <v>1</v>
      </c>
      <c r="H439" s="21" t="n">
        <v>520</v>
      </c>
      <c r="I439" s="21" t="n">
        <v>415</v>
      </c>
      <c r="J439" s="22" t="n">
        <v>0</v>
      </c>
      <c r="K439" s="21" t="n">
        <f aca="false">G439*H439*(1-J439)</f>
        <v>520</v>
      </c>
      <c r="L439" s="21" t="n">
        <f aca="false">G439*I439</f>
        <v>415</v>
      </c>
      <c r="M439" s="21" t="n">
        <f aca="false">K439-L439</f>
        <v>105</v>
      </c>
      <c r="N439" s="11" t="str">
        <f aca="false">TEXT(B439,"mmm")</f>
        <v>May</v>
      </c>
    </row>
    <row r="440" customFormat="false" ht="15" hidden="false" customHeight="false" outlineLevel="0" collapsed="false">
      <c r="A440" s="11" t="s">
        <v>501</v>
      </c>
      <c r="B440" s="20" t="n">
        <v>45788</v>
      </c>
      <c r="C440" s="11" t="s">
        <v>22</v>
      </c>
      <c r="D440" s="11" t="s">
        <v>37</v>
      </c>
      <c r="E440" s="11" t="s">
        <v>52</v>
      </c>
      <c r="F440" s="11" t="s">
        <v>42</v>
      </c>
      <c r="G440" s="11" t="n">
        <v>30</v>
      </c>
      <c r="H440" s="21" t="n">
        <v>12</v>
      </c>
      <c r="I440" s="21" t="n">
        <v>6</v>
      </c>
      <c r="J440" s="22" t="n">
        <v>0.15</v>
      </c>
      <c r="K440" s="21" t="n">
        <f aca="false">G440*H440*(1-J440)</f>
        <v>306</v>
      </c>
      <c r="L440" s="21" t="n">
        <f aca="false">G440*I440</f>
        <v>180</v>
      </c>
      <c r="M440" s="21" t="n">
        <f aca="false">K440-L440</f>
        <v>126</v>
      </c>
      <c r="N440" s="11" t="str">
        <f aca="false">TEXT(B440,"mmm")</f>
        <v>May</v>
      </c>
    </row>
    <row r="441" customFormat="false" ht="15" hidden="false" customHeight="false" outlineLevel="0" collapsed="false">
      <c r="A441" s="11" t="s">
        <v>502</v>
      </c>
      <c r="B441" s="20" t="n">
        <v>45789</v>
      </c>
      <c r="C441" s="11" t="s">
        <v>18</v>
      </c>
      <c r="D441" s="11" t="s">
        <v>37</v>
      </c>
      <c r="E441" s="11" t="s">
        <v>53</v>
      </c>
      <c r="F441" s="11" t="s">
        <v>42</v>
      </c>
      <c r="G441" s="11" t="n">
        <v>34</v>
      </c>
      <c r="H441" s="21" t="n">
        <v>9</v>
      </c>
      <c r="I441" s="21" t="n">
        <v>4.5</v>
      </c>
      <c r="J441" s="22" t="n">
        <v>0.1</v>
      </c>
      <c r="K441" s="21" t="n">
        <f aca="false">G441*H441*(1-J441)</f>
        <v>275.4</v>
      </c>
      <c r="L441" s="21" t="n">
        <f aca="false">G441*I441</f>
        <v>153</v>
      </c>
      <c r="M441" s="21" t="n">
        <f aca="false">K441-L441</f>
        <v>122.4</v>
      </c>
      <c r="N441" s="11" t="str">
        <f aca="false">TEXT(B441,"mmm")</f>
        <v>May</v>
      </c>
    </row>
    <row r="442" customFormat="false" ht="15" hidden="false" customHeight="false" outlineLevel="0" collapsed="false">
      <c r="A442" s="11" t="s">
        <v>503</v>
      </c>
      <c r="B442" s="20" t="n">
        <v>45789</v>
      </c>
      <c r="C442" s="11" t="s">
        <v>22</v>
      </c>
      <c r="D442" s="11" t="s">
        <v>37</v>
      </c>
      <c r="E442" s="11" t="s">
        <v>49</v>
      </c>
      <c r="F442" s="11" t="s">
        <v>44</v>
      </c>
      <c r="G442" s="11" t="n">
        <v>10</v>
      </c>
      <c r="H442" s="21" t="n">
        <v>28</v>
      </c>
      <c r="I442" s="21" t="n">
        <v>17</v>
      </c>
      <c r="J442" s="22" t="n">
        <v>0.1</v>
      </c>
      <c r="K442" s="21" t="n">
        <f aca="false">G442*H442*(1-J442)</f>
        <v>252</v>
      </c>
      <c r="L442" s="21" t="n">
        <f aca="false">G442*I442</f>
        <v>170</v>
      </c>
      <c r="M442" s="21" t="n">
        <f aca="false">K442-L442</f>
        <v>82</v>
      </c>
      <c r="N442" s="11" t="str">
        <f aca="false">TEXT(B442,"mmm")</f>
        <v>May</v>
      </c>
    </row>
    <row r="443" customFormat="false" ht="15" hidden="false" customHeight="false" outlineLevel="0" collapsed="false">
      <c r="A443" s="11" t="s">
        <v>504</v>
      </c>
      <c r="B443" s="20" t="n">
        <v>45790</v>
      </c>
      <c r="C443" s="11" t="s">
        <v>24</v>
      </c>
      <c r="D443" s="11" t="s">
        <v>35</v>
      </c>
      <c r="E443" s="11" t="s">
        <v>55</v>
      </c>
      <c r="F443" s="11" t="s">
        <v>42</v>
      </c>
      <c r="G443" s="11" t="n">
        <v>3</v>
      </c>
      <c r="H443" s="21" t="n">
        <v>150</v>
      </c>
      <c r="I443" s="21" t="n">
        <v>82</v>
      </c>
      <c r="J443" s="22" t="n">
        <v>0.05</v>
      </c>
      <c r="K443" s="21" t="n">
        <f aca="false">G443*H443*(1-J443)</f>
        <v>427.5</v>
      </c>
      <c r="L443" s="21" t="n">
        <f aca="false">G443*I443</f>
        <v>246</v>
      </c>
      <c r="M443" s="21" t="n">
        <f aca="false">K443-L443</f>
        <v>181.5</v>
      </c>
      <c r="N443" s="11" t="str">
        <f aca="false">TEXT(B443,"mmm")</f>
        <v>May</v>
      </c>
    </row>
    <row r="444" customFormat="false" ht="15" hidden="false" customHeight="false" outlineLevel="0" collapsed="false">
      <c r="A444" s="11" t="s">
        <v>505</v>
      </c>
      <c r="B444" s="20" t="n">
        <v>45790</v>
      </c>
      <c r="C444" s="11" t="s">
        <v>20</v>
      </c>
      <c r="D444" s="11" t="s">
        <v>33</v>
      </c>
      <c r="E444" s="11" t="s">
        <v>51</v>
      </c>
      <c r="F444" s="11" t="s">
        <v>44</v>
      </c>
      <c r="G444" s="11" t="n">
        <v>5</v>
      </c>
      <c r="H444" s="21" t="n">
        <v>90</v>
      </c>
      <c r="I444" s="21" t="n">
        <v>58</v>
      </c>
      <c r="J444" s="22" t="n">
        <v>0.05</v>
      </c>
      <c r="K444" s="21" t="n">
        <f aca="false">G444*H444*(1-J444)</f>
        <v>427.5</v>
      </c>
      <c r="L444" s="21" t="n">
        <f aca="false">G444*I444</f>
        <v>290</v>
      </c>
      <c r="M444" s="21" t="n">
        <f aca="false">K444-L444</f>
        <v>137.5</v>
      </c>
      <c r="N444" s="11" t="str">
        <f aca="false">TEXT(B444,"mmm")</f>
        <v>May</v>
      </c>
    </row>
    <row r="445" customFormat="false" ht="15" hidden="false" customHeight="false" outlineLevel="0" collapsed="false">
      <c r="A445" s="11" t="s">
        <v>506</v>
      </c>
      <c r="B445" s="20" t="n">
        <v>45790</v>
      </c>
      <c r="C445" s="11" t="s">
        <v>20</v>
      </c>
      <c r="D445" s="11" t="s">
        <v>33</v>
      </c>
      <c r="E445" s="11" t="s">
        <v>50</v>
      </c>
      <c r="F445" s="11" t="s">
        <v>42</v>
      </c>
      <c r="G445" s="11" t="n">
        <v>3</v>
      </c>
      <c r="H445" s="21" t="n">
        <v>780</v>
      </c>
      <c r="I445" s="21" t="n">
        <v>600</v>
      </c>
      <c r="J445" s="22" t="n">
        <v>0</v>
      </c>
      <c r="K445" s="21" t="n">
        <f aca="false">G445*H445*(1-J445)</f>
        <v>2340</v>
      </c>
      <c r="L445" s="21" t="n">
        <f aca="false">G445*I445</f>
        <v>1800</v>
      </c>
      <c r="M445" s="21" t="n">
        <f aca="false">K445-L445</f>
        <v>540</v>
      </c>
      <c r="N445" s="11" t="str">
        <f aca="false">TEXT(B445,"mmm")</f>
        <v>May</v>
      </c>
    </row>
    <row r="446" customFormat="false" ht="15" hidden="false" customHeight="false" outlineLevel="0" collapsed="false">
      <c r="A446" s="11" t="s">
        <v>507</v>
      </c>
      <c r="B446" s="20" t="n">
        <v>45790</v>
      </c>
      <c r="C446" s="11" t="s">
        <v>24</v>
      </c>
      <c r="D446" s="11" t="s">
        <v>35</v>
      </c>
      <c r="E446" s="11" t="s">
        <v>55</v>
      </c>
      <c r="F446" s="11" t="s">
        <v>44</v>
      </c>
      <c r="G446" s="11" t="n">
        <v>1</v>
      </c>
      <c r="H446" s="21" t="n">
        <v>150</v>
      </c>
      <c r="I446" s="21" t="n">
        <v>82</v>
      </c>
      <c r="J446" s="22" t="n">
        <v>0.1</v>
      </c>
      <c r="K446" s="21" t="n">
        <f aca="false">G446*H446*(1-J446)</f>
        <v>135</v>
      </c>
      <c r="L446" s="21" t="n">
        <f aca="false">G446*I446</f>
        <v>82</v>
      </c>
      <c r="M446" s="21" t="n">
        <f aca="false">K446-L446</f>
        <v>53</v>
      </c>
      <c r="N446" s="11" t="str">
        <f aca="false">TEXT(B446,"mmm")</f>
        <v>May</v>
      </c>
    </row>
    <row r="447" customFormat="false" ht="15" hidden="false" customHeight="false" outlineLevel="0" collapsed="false">
      <c r="A447" s="11" t="s">
        <v>508</v>
      </c>
      <c r="B447" s="20" t="n">
        <v>45790</v>
      </c>
      <c r="C447" s="11" t="s">
        <v>20</v>
      </c>
      <c r="D447" s="11" t="s">
        <v>37</v>
      </c>
      <c r="E447" s="11" t="s">
        <v>52</v>
      </c>
      <c r="F447" s="11" t="s">
        <v>42</v>
      </c>
      <c r="G447" s="11" t="n">
        <v>36</v>
      </c>
      <c r="H447" s="21" t="n">
        <v>12</v>
      </c>
      <c r="I447" s="21" t="n">
        <v>6</v>
      </c>
      <c r="J447" s="22" t="n">
        <v>0.1</v>
      </c>
      <c r="K447" s="21" t="n">
        <f aca="false">G447*H447*(1-J447)</f>
        <v>388.8</v>
      </c>
      <c r="L447" s="21" t="n">
        <f aca="false">G447*I447</f>
        <v>216</v>
      </c>
      <c r="M447" s="21" t="n">
        <f aca="false">K447-L447</f>
        <v>172.8</v>
      </c>
      <c r="N447" s="11" t="str">
        <f aca="false">TEXT(B447,"mmm")</f>
        <v>May</v>
      </c>
    </row>
    <row r="448" customFormat="false" ht="15" hidden="false" customHeight="false" outlineLevel="0" collapsed="false">
      <c r="A448" s="11" t="s">
        <v>509</v>
      </c>
      <c r="B448" s="20" t="n">
        <v>45790</v>
      </c>
      <c r="C448" s="11" t="s">
        <v>22</v>
      </c>
      <c r="D448" s="11" t="s">
        <v>37</v>
      </c>
      <c r="E448" s="11" t="s">
        <v>53</v>
      </c>
      <c r="F448" s="11" t="s">
        <v>42</v>
      </c>
      <c r="G448" s="11" t="n">
        <v>3</v>
      </c>
      <c r="H448" s="21" t="n">
        <v>9</v>
      </c>
      <c r="I448" s="21" t="n">
        <v>4.5</v>
      </c>
      <c r="J448" s="22" t="n">
        <v>0.05</v>
      </c>
      <c r="K448" s="21" t="n">
        <f aca="false">G448*H448*(1-J448)</f>
        <v>25.65</v>
      </c>
      <c r="L448" s="21" t="n">
        <f aca="false">G448*I448</f>
        <v>13.5</v>
      </c>
      <c r="M448" s="21" t="n">
        <f aca="false">K448-L448</f>
        <v>12.15</v>
      </c>
      <c r="N448" s="11" t="str">
        <f aca="false">TEXT(B448,"mmm")</f>
        <v>May</v>
      </c>
    </row>
    <row r="449" customFormat="false" ht="15" hidden="false" customHeight="false" outlineLevel="0" collapsed="false">
      <c r="A449" s="11" t="s">
        <v>510</v>
      </c>
      <c r="B449" s="20" t="n">
        <v>45791</v>
      </c>
      <c r="C449" s="11" t="s">
        <v>18</v>
      </c>
      <c r="D449" s="11" t="s">
        <v>37</v>
      </c>
      <c r="E449" s="11" t="s">
        <v>53</v>
      </c>
      <c r="F449" s="11" t="s">
        <v>44</v>
      </c>
      <c r="G449" s="11" t="n">
        <v>30</v>
      </c>
      <c r="H449" s="21" t="n">
        <v>9</v>
      </c>
      <c r="I449" s="21" t="n">
        <v>4.5</v>
      </c>
      <c r="J449" s="22" t="n">
        <v>0</v>
      </c>
      <c r="K449" s="21" t="n">
        <f aca="false">G449*H449*(1-J449)</f>
        <v>270</v>
      </c>
      <c r="L449" s="21" t="n">
        <f aca="false">G449*I449</f>
        <v>135</v>
      </c>
      <c r="M449" s="21" t="n">
        <f aca="false">K449-L449</f>
        <v>135</v>
      </c>
      <c r="N449" s="11" t="str">
        <f aca="false">TEXT(B449,"mmm")</f>
        <v>May</v>
      </c>
    </row>
    <row r="450" customFormat="false" ht="15" hidden="false" customHeight="false" outlineLevel="0" collapsed="false">
      <c r="A450" s="11" t="s">
        <v>511</v>
      </c>
      <c r="B450" s="20" t="n">
        <v>45791</v>
      </c>
      <c r="C450" s="11" t="s">
        <v>18</v>
      </c>
      <c r="D450" s="11" t="s">
        <v>37</v>
      </c>
      <c r="E450" s="11" t="s">
        <v>53</v>
      </c>
      <c r="F450" s="11" t="s">
        <v>44</v>
      </c>
      <c r="G450" s="11" t="n">
        <v>5</v>
      </c>
      <c r="H450" s="21" t="n">
        <v>9</v>
      </c>
      <c r="I450" s="21" t="n">
        <v>4.5</v>
      </c>
      <c r="J450" s="22" t="n">
        <v>0.1</v>
      </c>
      <c r="K450" s="21" t="n">
        <f aca="false">G450*H450*(1-J450)</f>
        <v>40.5</v>
      </c>
      <c r="L450" s="21" t="n">
        <f aca="false">G450*I450</f>
        <v>22.5</v>
      </c>
      <c r="M450" s="21" t="n">
        <f aca="false">K450-L450</f>
        <v>18</v>
      </c>
      <c r="N450" s="11" t="str">
        <f aca="false">TEXT(B450,"mmm")</f>
        <v>May</v>
      </c>
    </row>
    <row r="451" customFormat="false" ht="15" hidden="false" customHeight="false" outlineLevel="0" collapsed="false">
      <c r="A451" s="11" t="s">
        <v>512</v>
      </c>
      <c r="B451" s="20" t="n">
        <v>45791</v>
      </c>
      <c r="C451" s="11" t="s">
        <v>24</v>
      </c>
      <c r="D451" s="11" t="s">
        <v>37</v>
      </c>
      <c r="E451" s="11" t="s">
        <v>52</v>
      </c>
      <c r="F451" s="11" t="s">
        <v>45</v>
      </c>
      <c r="G451" s="11" t="n">
        <v>51</v>
      </c>
      <c r="H451" s="21" t="n">
        <v>12</v>
      </c>
      <c r="I451" s="21" t="n">
        <v>6</v>
      </c>
      <c r="J451" s="22" t="n">
        <v>0.15</v>
      </c>
      <c r="K451" s="21" t="n">
        <f aca="false">G451*H451*(1-J451)</f>
        <v>520.2</v>
      </c>
      <c r="L451" s="21" t="n">
        <f aca="false">G451*I451</f>
        <v>306</v>
      </c>
      <c r="M451" s="21" t="n">
        <f aca="false">K451-L451</f>
        <v>214.2</v>
      </c>
      <c r="N451" s="11" t="str">
        <f aca="false">TEXT(B451,"mmm")</f>
        <v>May</v>
      </c>
    </row>
    <row r="452" customFormat="false" ht="15" hidden="false" customHeight="false" outlineLevel="0" collapsed="false">
      <c r="A452" s="11" t="s">
        <v>513</v>
      </c>
      <c r="B452" s="20" t="n">
        <v>45792</v>
      </c>
      <c r="C452" s="11" t="s">
        <v>18</v>
      </c>
      <c r="D452" s="11" t="s">
        <v>35</v>
      </c>
      <c r="E452" s="11" t="s">
        <v>56</v>
      </c>
      <c r="F452" s="11" t="s">
        <v>44</v>
      </c>
      <c r="G452" s="11" t="n">
        <v>3</v>
      </c>
      <c r="H452" s="21" t="n">
        <v>110</v>
      </c>
      <c r="I452" s="21" t="n">
        <v>62</v>
      </c>
      <c r="J452" s="22" t="n">
        <v>0.05</v>
      </c>
      <c r="K452" s="21" t="n">
        <f aca="false">G452*H452*(1-J452)</f>
        <v>313.5</v>
      </c>
      <c r="L452" s="21" t="n">
        <f aca="false">G452*I452</f>
        <v>186</v>
      </c>
      <c r="M452" s="21" t="n">
        <f aca="false">K452-L452</f>
        <v>127.5</v>
      </c>
      <c r="N452" s="11" t="str">
        <f aca="false">TEXT(B452,"mmm")</f>
        <v>May</v>
      </c>
    </row>
    <row r="453" customFormat="false" ht="15" hidden="false" customHeight="false" outlineLevel="0" collapsed="false">
      <c r="A453" s="11" t="s">
        <v>514</v>
      </c>
      <c r="B453" s="20" t="n">
        <v>45792</v>
      </c>
      <c r="C453" s="11" t="s">
        <v>20</v>
      </c>
      <c r="D453" s="11" t="s">
        <v>37</v>
      </c>
      <c r="E453" s="11" t="s">
        <v>52</v>
      </c>
      <c r="F453" s="11" t="s">
        <v>44</v>
      </c>
      <c r="G453" s="11" t="n">
        <v>10</v>
      </c>
      <c r="H453" s="21" t="n">
        <v>12</v>
      </c>
      <c r="I453" s="21" t="n">
        <v>6</v>
      </c>
      <c r="J453" s="22" t="n">
        <v>0.05</v>
      </c>
      <c r="K453" s="21" t="n">
        <f aca="false">G453*H453*(1-J453)</f>
        <v>114</v>
      </c>
      <c r="L453" s="21" t="n">
        <f aca="false">G453*I453</f>
        <v>60</v>
      </c>
      <c r="M453" s="21" t="n">
        <f aca="false">K453-L453</f>
        <v>54</v>
      </c>
      <c r="N453" s="11" t="str">
        <f aca="false">TEXT(B453,"mmm")</f>
        <v>May</v>
      </c>
    </row>
    <row r="454" customFormat="false" ht="15" hidden="false" customHeight="false" outlineLevel="0" collapsed="false">
      <c r="A454" s="11" t="s">
        <v>515</v>
      </c>
      <c r="B454" s="20" t="n">
        <v>45792</v>
      </c>
      <c r="C454" s="11" t="s">
        <v>22</v>
      </c>
      <c r="D454" s="11" t="s">
        <v>35</v>
      </c>
      <c r="E454" s="11" t="s">
        <v>55</v>
      </c>
      <c r="F454" s="11" t="s">
        <v>42</v>
      </c>
      <c r="G454" s="11" t="n">
        <v>2</v>
      </c>
      <c r="H454" s="21" t="n">
        <v>150</v>
      </c>
      <c r="I454" s="21" t="n">
        <v>82</v>
      </c>
      <c r="J454" s="22" t="n">
        <v>0</v>
      </c>
      <c r="K454" s="21" t="n">
        <f aca="false">G454*H454*(1-J454)</f>
        <v>300</v>
      </c>
      <c r="L454" s="21" t="n">
        <f aca="false">G454*I454</f>
        <v>164</v>
      </c>
      <c r="M454" s="21" t="n">
        <f aca="false">K454-L454</f>
        <v>136</v>
      </c>
      <c r="N454" s="11" t="str">
        <f aca="false">TEXT(B454,"mmm")</f>
        <v>May</v>
      </c>
    </row>
    <row r="455" customFormat="false" ht="15" hidden="false" customHeight="false" outlineLevel="0" collapsed="false">
      <c r="A455" s="11" t="s">
        <v>516</v>
      </c>
      <c r="B455" s="20" t="n">
        <v>45792</v>
      </c>
      <c r="C455" s="11" t="s">
        <v>24</v>
      </c>
      <c r="D455" s="11" t="s">
        <v>37</v>
      </c>
      <c r="E455" s="11" t="s">
        <v>52</v>
      </c>
      <c r="F455" s="11" t="s">
        <v>42</v>
      </c>
      <c r="G455" s="11" t="n">
        <v>29</v>
      </c>
      <c r="H455" s="21" t="n">
        <v>12</v>
      </c>
      <c r="I455" s="21" t="n">
        <v>6</v>
      </c>
      <c r="J455" s="22" t="n">
        <v>0.1</v>
      </c>
      <c r="K455" s="21" t="n">
        <f aca="false">G455*H455*(1-J455)</f>
        <v>313.2</v>
      </c>
      <c r="L455" s="21" t="n">
        <f aca="false">G455*I455</f>
        <v>174</v>
      </c>
      <c r="M455" s="21" t="n">
        <f aca="false">K455-L455</f>
        <v>139.2</v>
      </c>
      <c r="N455" s="11" t="str">
        <f aca="false">TEXT(B455,"mmm")</f>
        <v>May</v>
      </c>
    </row>
    <row r="456" customFormat="false" ht="15" hidden="false" customHeight="false" outlineLevel="0" collapsed="false">
      <c r="A456" s="11" t="s">
        <v>517</v>
      </c>
      <c r="B456" s="20" t="n">
        <v>45792</v>
      </c>
      <c r="C456" s="11" t="s">
        <v>18</v>
      </c>
      <c r="D456" s="11" t="s">
        <v>33</v>
      </c>
      <c r="E456" s="11" t="s">
        <v>48</v>
      </c>
      <c r="F456" s="11" t="s">
        <v>42</v>
      </c>
      <c r="G456" s="11" t="n">
        <v>2</v>
      </c>
      <c r="H456" s="21" t="n">
        <v>520</v>
      </c>
      <c r="I456" s="21" t="n">
        <v>415</v>
      </c>
      <c r="J456" s="22" t="n">
        <v>0.1</v>
      </c>
      <c r="K456" s="21" t="n">
        <f aca="false">G456*H456*(1-J456)</f>
        <v>936</v>
      </c>
      <c r="L456" s="21" t="n">
        <f aca="false">G456*I456</f>
        <v>830</v>
      </c>
      <c r="M456" s="21" t="n">
        <f aca="false">K456-L456</f>
        <v>106</v>
      </c>
      <c r="N456" s="11" t="str">
        <f aca="false">TEXT(B456,"mmm")</f>
        <v>May</v>
      </c>
    </row>
    <row r="457" customFormat="false" ht="15" hidden="false" customHeight="false" outlineLevel="0" collapsed="false">
      <c r="A457" s="11" t="s">
        <v>518</v>
      </c>
      <c r="B457" s="20" t="n">
        <v>45792</v>
      </c>
      <c r="C457" s="11" t="s">
        <v>22</v>
      </c>
      <c r="D457" s="11" t="s">
        <v>37</v>
      </c>
      <c r="E457" s="11" t="s">
        <v>53</v>
      </c>
      <c r="F457" s="11" t="s">
        <v>44</v>
      </c>
      <c r="G457" s="11" t="n">
        <v>10</v>
      </c>
      <c r="H457" s="21" t="n">
        <v>9</v>
      </c>
      <c r="I457" s="21" t="n">
        <v>4.5</v>
      </c>
      <c r="J457" s="22" t="n">
        <v>0.05</v>
      </c>
      <c r="K457" s="21" t="n">
        <f aca="false">G457*H457*(1-J457)</f>
        <v>85.5</v>
      </c>
      <c r="L457" s="21" t="n">
        <f aca="false">G457*I457</f>
        <v>45</v>
      </c>
      <c r="M457" s="21" t="n">
        <f aca="false">K457-L457</f>
        <v>40.5</v>
      </c>
      <c r="N457" s="11" t="str">
        <f aca="false">TEXT(B457,"mmm")</f>
        <v>May</v>
      </c>
    </row>
    <row r="458" customFormat="false" ht="15" hidden="false" customHeight="false" outlineLevel="0" collapsed="false">
      <c r="A458" s="11" t="s">
        <v>519</v>
      </c>
      <c r="B458" s="20" t="n">
        <v>45792</v>
      </c>
      <c r="C458" s="11" t="s">
        <v>20</v>
      </c>
      <c r="D458" s="11" t="s">
        <v>35</v>
      </c>
      <c r="E458" s="11" t="s">
        <v>54</v>
      </c>
      <c r="F458" s="11" t="s">
        <v>42</v>
      </c>
      <c r="G458" s="11" t="n">
        <v>3</v>
      </c>
      <c r="H458" s="21" t="n">
        <v>320</v>
      </c>
      <c r="I458" s="21" t="n">
        <v>185</v>
      </c>
      <c r="J458" s="22" t="n">
        <v>0.15</v>
      </c>
      <c r="K458" s="21" t="n">
        <f aca="false">G458*H458*(1-J458)</f>
        <v>816</v>
      </c>
      <c r="L458" s="21" t="n">
        <f aca="false">G458*I458</f>
        <v>555</v>
      </c>
      <c r="M458" s="21" t="n">
        <f aca="false">K458-L458</f>
        <v>261</v>
      </c>
      <c r="N458" s="11" t="str">
        <f aca="false">TEXT(B458,"mmm")</f>
        <v>May</v>
      </c>
    </row>
    <row r="459" customFormat="false" ht="15" hidden="false" customHeight="false" outlineLevel="0" collapsed="false">
      <c r="A459" s="11" t="s">
        <v>520</v>
      </c>
      <c r="B459" s="20" t="n">
        <v>45792</v>
      </c>
      <c r="C459" s="11" t="s">
        <v>20</v>
      </c>
      <c r="D459" s="11" t="s">
        <v>33</v>
      </c>
      <c r="E459" s="11" t="s">
        <v>51</v>
      </c>
      <c r="F459" s="11" t="s">
        <v>42</v>
      </c>
      <c r="G459" s="11" t="n">
        <v>1</v>
      </c>
      <c r="H459" s="21" t="n">
        <v>90</v>
      </c>
      <c r="I459" s="21" t="n">
        <v>58</v>
      </c>
      <c r="J459" s="22" t="n">
        <v>0.05</v>
      </c>
      <c r="K459" s="21" t="n">
        <f aca="false">G459*H459*(1-J459)</f>
        <v>85.5</v>
      </c>
      <c r="L459" s="21" t="n">
        <f aca="false">G459*I459</f>
        <v>58</v>
      </c>
      <c r="M459" s="21" t="n">
        <f aca="false">K459-L459</f>
        <v>27.5</v>
      </c>
      <c r="N459" s="11" t="str">
        <f aca="false">TEXT(B459,"mmm")</f>
        <v>May</v>
      </c>
    </row>
    <row r="460" customFormat="false" ht="15" hidden="false" customHeight="false" outlineLevel="0" collapsed="false">
      <c r="A460" s="11" t="s">
        <v>521</v>
      </c>
      <c r="B460" s="20" t="n">
        <v>45792</v>
      </c>
      <c r="C460" s="11" t="s">
        <v>22</v>
      </c>
      <c r="D460" s="11" t="s">
        <v>33</v>
      </c>
      <c r="E460" s="11" t="s">
        <v>48</v>
      </c>
      <c r="F460" s="11" t="s">
        <v>45</v>
      </c>
      <c r="G460" s="11" t="n">
        <v>2</v>
      </c>
      <c r="H460" s="21" t="n">
        <v>520</v>
      </c>
      <c r="I460" s="21" t="n">
        <v>415</v>
      </c>
      <c r="J460" s="22" t="n">
        <v>0.1</v>
      </c>
      <c r="K460" s="21" t="n">
        <f aca="false">G460*H460*(1-J460)</f>
        <v>936</v>
      </c>
      <c r="L460" s="21" t="n">
        <f aca="false">G460*I460</f>
        <v>830</v>
      </c>
      <c r="M460" s="21" t="n">
        <f aca="false">K460-L460</f>
        <v>106</v>
      </c>
      <c r="N460" s="11" t="str">
        <f aca="false">TEXT(B460,"mmm")</f>
        <v>May</v>
      </c>
    </row>
    <row r="461" customFormat="false" ht="15" hidden="false" customHeight="false" outlineLevel="0" collapsed="false">
      <c r="A461" s="11" t="s">
        <v>522</v>
      </c>
      <c r="B461" s="20" t="n">
        <v>45793</v>
      </c>
      <c r="C461" s="11" t="s">
        <v>18</v>
      </c>
      <c r="D461" s="11" t="s">
        <v>35</v>
      </c>
      <c r="E461" s="11" t="s">
        <v>55</v>
      </c>
      <c r="F461" s="11" t="s">
        <v>44</v>
      </c>
      <c r="G461" s="11" t="n">
        <v>3</v>
      </c>
      <c r="H461" s="21" t="n">
        <v>150</v>
      </c>
      <c r="I461" s="21" t="n">
        <v>82</v>
      </c>
      <c r="J461" s="22" t="n">
        <v>0.05</v>
      </c>
      <c r="K461" s="21" t="n">
        <f aca="false">G461*H461*(1-J461)</f>
        <v>427.5</v>
      </c>
      <c r="L461" s="21" t="n">
        <f aca="false">G461*I461</f>
        <v>246</v>
      </c>
      <c r="M461" s="21" t="n">
        <f aca="false">K461-L461</f>
        <v>181.5</v>
      </c>
      <c r="N461" s="11" t="str">
        <f aca="false">TEXT(B461,"mmm")</f>
        <v>May</v>
      </c>
    </row>
    <row r="462" customFormat="false" ht="15" hidden="false" customHeight="false" outlineLevel="0" collapsed="false">
      <c r="A462" s="11" t="s">
        <v>523</v>
      </c>
      <c r="B462" s="20" t="n">
        <v>45793</v>
      </c>
      <c r="C462" s="11" t="s">
        <v>20</v>
      </c>
      <c r="D462" s="11" t="s">
        <v>35</v>
      </c>
      <c r="E462" s="11" t="s">
        <v>54</v>
      </c>
      <c r="F462" s="11" t="s">
        <v>45</v>
      </c>
      <c r="G462" s="11" t="n">
        <v>2</v>
      </c>
      <c r="H462" s="21" t="n">
        <v>320</v>
      </c>
      <c r="I462" s="21" t="n">
        <v>185</v>
      </c>
      <c r="J462" s="22" t="n">
        <v>0.2</v>
      </c>
      <c r="K462" s="21" t="n">
        <f aca="false">G462*H462*(1-J462)</f>
        <v>512</v>
      </c>
      <c r="L462" s="21" t="n">
        <f aca="false">G462*I462</f>
        <v>370</v>
      </c>
      <c r="M462" s="21" t="n">
        <f aca="false">K462-L462</f>
        <v>142</v>
      </c>
      <c r="N462" s="11" t="str">
        <f aca="false">TEXT(B462,"mmm")</f>
        <v>May</v>
      </c>
    </row>
    <row r="463" customFormat="false" ht="15" hidden="false" customHeight="false" outlineLevel="0" collapsed="false">
      <c r="A463" s="11" t="s">
        <v>524</v>
      </c>
      <c r="B463" s="20" t="n">
        <v>45793</v>
      </c>
      <c r="C463" s="11" t="s">
        <v>20</v>
      </c>
      <c r="D463" s="11" t="s">
        <v>37</v>
      </c>
      <c r="E463" s="11" t="s">
        <v>53</v>
      </c>
      <c r="F463" s="11" t="s">
        <v>42</v>
      </c>
      <c r="G463" s="11" t="n">
        <v>26</v>
      </c>
      <c r="H463" s="21" t="n">
        <v>9</v>
      </c>
      <c r="I463" s="21" t="n">
        <v>4.5</v>
      </c>
      <c r="J463" s="22" t="n">
        <v>0</v>
      </c>
      <c r="K463" s="21" t="n">
        <f aca="false">G463*H463*(1-J463)</f>
        <v>234</v>
      </c>
      <c r="L463" s="21" t="n">
        <f aca="false">G463*I463</f>
        <v>117</v>
      </c>
      <c r="M463" s="21" t="n">
        <f aca="false">K463-L463</f>
        <v>117</v>
      </c>
      <c r="N463" s="11" t="str">
        <f aca="false">TEXT(B463,"mmm")</f>
        <v>May</v>
      </c>
    </row>
    <row r="464" customFormat="false" ht="15" hidden="false" customHeight="false" outlineLevel="0" collapsed="false">
      <c r="A464" s="11" t="s">
        <v>525</v>
      </c>
      <c r="B464" s="20" t="n">
        <v>45793</v>
      </c>
      <c r="C464" s="11" t="s">
        <v>20</v>
      </c>
      <c r="D464" s="11" t="s">
        <v>37</v>
      </c>
      <c r="E464" s="11" t="s">
        <v>49</v>
      </c>
      <c r="F464" s="11" t="s">
        <v>44</v>
      </c>
      <c r="G464" s="11" t="n">
        <v>26</v>
      </c>
      <c r="H464" s="21" t="n">
        <v>28</v>
      </c>
      <c r="I464" s="21" t="n">
        <v>17</v>
      </c>
      <c r="J464" s="22" t="n">
        <v>0</v>
      </c>
      <c r="K464" s="21" t="n">
        <f aca="false">G464*H464*(1-J464)</f>
        <v>728</v>
      </c>
      <c r="L464" s="21" t="n">
        <f aca="false">G464*I464</f>
        <v>442</v>
      </c>
      <c r="M464" s="21" t="n">
        <f aca="false">K464-L464</f>
        <v>286</v>
      </c>
      <c r="N464" s="11" t="str">
        <f aca="false">TEXT(B464,"mmm")</f>
        <v>May</v>
      </c>
    </row>
    <row r="465" customFormat="false" ht="15" hidden="false" customHeight="false" outlineLevel="0" collapsed="false">
      <c r="A465" s="11" t="s">
        <v>526</v>
      </c>
      <c r="B465" s="20" t="n">
        <v>45793</v>
      </c>
      <c r="C465" s="11" t="s">
        <v>20</v>
      </c>
      <c r="D465" s="11" t="s">
        <v>35</v>
      </c>
      <c r="E465" s="11" t="s">
        <v>55</v>
      </c>
      <c r="F465" s="11" t="s">
        <v>42</v>
      </c>
      <c r="G465" s="11" t="n">
        <v>1</v>
      </c>
      <c r="H465" s="21" t="n">
        <v>150</v>
      </c>
      <c r="I465" s="21" t="n">
        <v>82</v>
      </c>
      <c r="J465" s="22" t="n">
        <v>0.05</v>
      </c>
      <c r="K465" s="21" t="n">
        <f aca="false">G465*H465*(1-J465)</f>
        <v>142.5</v>
      </c>
      <c r="L465" s="21" t="n">
        <f aca="false">G465*I465</f>
        <v>82</v>
      </c>
      <c r="M465" s="21" t="n">
        <f aca="false">K465-L465</f>
        <v>60.5</v>
      </c>
      <c r="N465" s="11" t="str">
        <f aca="false">TEXT(B465,"mmm")</f>
        <v>May</v>
      </c>
    </row>
    <row r="466" customFormat="false" ht="15" hidden="false" customHeight="false" outlineLevel="0" collapsed="false">
      <c r="A466" s="11" t="s">
        <v>527</v>
      </c>
      <c r="B466" s="20" t="n">
        <v>45793</v>
      </c>
      <c r="C466" s="11" t="s">
        <v>22</v>
      </c>
      <c r="D466" s="11" t="s">
        <v>37</v>
      </c>
      <c r="E466" s="11" t="s">
        <v>53</v>
      </c>
      <c r="F466" s="11" t="s">
        <v>42</v>
      </c>
      <c r="G466" s="11" t="n">
        <v>33</v>
      </c>
      <c r="H466" s="21" t="n">
        <v>9</v>
      </c>
      <c r="I466" s="21" t="n">
        <v>4.5</v>
      </c>
      <c r="J466" s="22" t="n">
        <v>0.15</v>
      </c>
      <c r="K466" s="21" t="n">
        <f aca="false">G466*H466*(1-J466)</f>
        <v>252.45</v>
      </c>
      <c r="L466" s="21" t="n">
        <f aca="false">G466*I466</f>
        <v>148.5</v>
      </c>
      <c r="M466" s="21" t="n">
        <f aca="false">K466-L466</f>
        <v>103.95</v>
      </c>
      <c r="N466" s="11" t="str">
        <f aca="false">TEXT(B466,"mmm")</f>
        <v>May</v>
      </c>
    </row>
    <row r="467" customFormat="false" ht="15" hidden="false" customHeight="false" outlineLevel="0" collapsed="false">
      <c r="A467" s="11" t="s">
        <v>528</v>
      </c>
      <c r="B467" s="20" t="n">
        <v>45794</v>
      </c>
      <c r="C467" s="11" t="s">
        <v>22</v>
      </c>
      <c r="D467" s="11" t="s">
        <v>33</v>
      </c>
      <c r="E467" s="11" t="s">
        <v>48</v>
      </c>
      <c r="F467" s="11" t="s">
        <v>42</v>
      </c>
      <c r="G467" s="11" t="n">
        <v>3</v>
      </c>
      <c r="H467" s="21" t="n">
        <v>520</v>
      </c>
      <c r="I467" s="21" t="n">
        <v>415</v>
      </c>
      <c r="J467" s="22" t="n">
        <v>0.05</v>
      </c>
      <c r="K467" s="21" t="n">
        <f aca="false">G467*H467*(1-J467)</f>
        <v>1482</v>
      </c>
      <c r="L467" s="21" t="n">
        <f aca="false">G467*I467</f>
        <v>1245</v>
      </c>
      <c r="M467" s="21" t="n">
        <f aca="false">K467-L467</f>
        <v>237</v>
      </c>
      <c r="N467" s="11" t="str">
        <f aca="false">TEXT(B467,"mmm")</f>
        <v>May</v>
      </c>
    </row>
    <row r="468" customFormat="false" ht="15" hidden="false" customHeight="false" outlineLevel="0" collapsed="false">
      <c r="A468" s="11" t="s">
        <v>529</v>
      </c>
      <c r="B468" s="20" t="n">
        <v>45794</v>
      </c>
      <c r="C468" s="11" t="s">
        <v>22</v>
      </c>
      <c r="D468" s="11" t="s">
        <v>35</v>
      </c>
      <c r="E468" s="11" t="s">
        <v>55</v>
      </c>
      <c r="F468" s="11" t="s">
        <v>42</v>
      </c>
      <c r="G468" s="11" t="n">
        <v>2</v>
      </c>
      <c r="H468" s="21" t="n">
        <v>150</v>
      </c>
      <c r="I468" s="21" t="n">
        <v>82</v>
      </c>
      <c r="J468" s="22" t="n">
        <v>0.15</v>
      </c>
      <c r="K468" s="21" t="n">
        <f aca="false">G468*H468*(1-J468)</f>
        <v>255</v>
      </c>
      <c r="L468" s="21" t="n">
        <f aca="false">G468*I468</f>
        <v>164</v>
      </c>
      <c r="M468" s="21" t="n">
        <f aca="false">K468-L468</f>
        <v>91</v>
      </c>
      <c r="N468" s="11" t="str">
        <f aca="false">TEXT(B468,"mmm")</f>
        <v>May</v>
      </c>
    </row>
    <row r="469" customFormat="false" ht="15" hidden="false" customHeight="false" outlineLevel="0" collapsed="false">
      <c r="A469" s="11" t="s">
        <v>530</v>
      </c>
      <c r="B469" s="20" t="n">
        <v>45794</v>
      </c>
      <c r="C469" s="11" t="s">
        <v>18</v>
      </c>
      <c r="D469" s="11" t="s">
        <v>35</v>
      </c>
      <c r="E469" s="11" t="s">
        <v>56</v>
      </c>
      <c r="F469" s="11" t="s">
        <v>42</v>
      </c>
      <c r="G469" s="11" t="n">
        <v>2</v>
      </c>
      <c r="H469" s="21" t="n">
        <v>110</v>
      </c>
      <c r="I469" s="21" t="n">
        <v>62</v>
      </c>
      <c r="J469" s="22" t="n">
        <v>0.05</v>
      </c>
      <c r="K469" s="21" t="n">
        <f aca="false">G469*H469*(1-J469)</f>
        <v>209</v>
      </c>
      <c r="L469" s="21" t="n">
        <f aca="false">G469*I469</f>
        <v>124</v>
      </c>
      <c r="M469" s="21" t="n">
        <f aca="false">K469-L469</f>
        <v>85</v>
      </c>
      <c r="N469" s="11" t="str">
        <f aca="false">TEXT(B469,"mmm")</f>
        <v>May</v>
      </c>
    </row>
    <row r="470" customFormat="false" ht="15" hidden="false" customHeight="false" outlineLevel="0" collapsed="false">
      <c r="A470" s="11" t="s">
        <v>531</v>
      </c>
      <c r="B470" s="20" t="n">
        <v>45795</v>
      </c>
      <c r="C470" s="11" t="s">
        <v>18</v>
      </c>
      <c r="D470" s="11" t="s">
        <v>35</v>
      </c>
      <c r="E470" s="11" t="s">
        <v>55</v>
      </c>
      <c r="F470" s="11" t="s">
        <v>42</v>
      </c>
      <c r="G470" s="11" t="n">
        <v>2</v>
      </c>
      <c r="H470" s="21" t="n">
        <v>150</v>
      </c>
      <c r="I470" s="21" t="n">
        <v>82</v>
      </c>
      <c r="J470" s="22" t="n">
        <v>0.1</v>
      </c>
      <c r="K470" s="21" t="n">
        <f aca="false">G470*H470*(1-J470)</f>
        <v>270</v>
      </c>
      <c r="L470" s="21" t="n">
        <f aca="false">G470*I470</f>
        <v>164</v>
      </c>
      <c r="M470" s="21" t="n">
        <f aca="false">K470-L470</f>
        <v>106</v>
      </c>
      <c r="N470" s="11" t="str">
        <f aca="false">TEXT(B470,"mmm")</f>
        <v>May</v>
      </c>
    </row>
    <row r="471" customFormat="false" ht="15" hidden="false" customHeight="false" outlineLevel="0" collapsed="false">
      <c r="A471" s="11" t="s">
        <v>532</v>
      </c>
      <c r="B471" s="20" t="n">
        <v>45795</v>
      </c>
      <c r="C471" s="11" t="s">
        <v>20</v>
      </c>
      <c r="D471" s="11" t="s">
        <v>35</v>
      </c>
      <c r="E471" s="11" t="s">
        <v>56</v>
      </c>
      <c r="F471" s="11" t="s">
        <v>44</v>
      </c>
      <c r="G471" s="11" t="n">
        <v>3</v>
      </c>
      <c r="H471" s="21" t="n">
        <v>110</v>
      </c>
      <c r="I471" s="21" t="n">
        <v>62</v>
      </c>
      <c r="J471" s="22" t="n">
        <v>0.1</v>
      </c>
      <c r="K471" s="21" t="n">
        <f aca="false">G471*H471*(1-J471)</f>
        <v>297</v>
      </c>
      <c r="L471" s="21" t="n">
        <f aca="false">G471*I471</f>
        <v>186</v>
      </c>
      <c r="M471" s="21" t="n">
        <f aca="false">K471-L471</f>
        <v>111</v>
      </c>
      <c r="N471" s="11" t="str">
        <f aca="false">TEXT(B471,"mmm")</f>
        <v>May</v>
      </c>
    </row>
    <row r="472" customFormat="false" ht="15" hidden="false" customHeight="false" outlineLevel="0" collapsed="false">
      <c r="A472" s="11" t="s">
        <v>533</v>
      </c>
      <c r="B472" s="20" t="n">
        <v>45795</v>
      </c>
      <c r="C472" s="11" t="s">
        <v>18</v>
      </c>
      <c r="D472" s="11" t="s">
        <v>37</v>
      </c>
      <c r="E472" s="11" t="s">
        <v>53</v>
      </c>
      <c r="F472" s="11" t="s">
        <v>44</v>
      </c>
      <c r="G472" s="11" t="n">
        <v>38</v>
      </c>
      <c r="H472" s="21" t="n">
        <v>9</v>
      </c>
      <c r="I472" s="21" t="n">
        <v>4.5</v>
      </c>
      <c r="J472" s="22" t="n">
        <v>0.1</v>
      </c>
      <c r="K472" s="21" t="n">
        <f aca="false">G472*H472*(1-J472)</f>
        <v>307.8</v>
      </c>
      <c r="L472" s="21" t="n">
        <f aca="false">G472*I472</f>
        <v>171</v>
      </c>
      <c r="M472" s="21" t="n">
        <f aca="false">K472-L472</f>
        <v>136.8</v>
      </c>
      <c r="N472" s="11" t="str">
        <f aca="false">TEXT(B472,"mmm")</f>
        <v>May</v>
      </c>
    </row>
    <row r="473" customFormat="false" ht="15" hidden="false" customHeight="false" outlineLevel="0" collapsed="false">
      <c r="A473" s="11" t="s">
        <v>534</v>
      </c>
      <c r="B473" s="20" t="n">
        <v>45795</v>
      </c>
      <c r="C473" s="11" t="s">
        <v>22</v>
      </c>
      <c r="D473" s="11" t="s">
        <v>33</v>
      </c>
      <c r="E473" s="11" t="s">
        <v>51</v>
      </c>
      <c r="F473" s="11" t="s">
        <v>42</v>
      </c>
      <c r="G473" s="11" t="n">
        <v>4</v>
      </c>
      <c r="H473" s="21" t="n">
        <v>90</v>
      </c>
      <c r="I473" s="21" t="n">
        <v>58</v>
      </c>
      <c r="J473" s="22" t="n">
        <v>0.1</v>
      </c>
      <c r="K473" s="21" t="n">
        <f aca="false">G473*H473*(1-J473)</f>
        <v>324</v>
      </c>
      <c r="L473" s="21" t="n">
        <f aca="false">G473*I473</f>
        <v>232</v>
      </c>
      <c r="M473" s="21" t="n">
        <f aca="false">K473-L473</f>
        <v>92</v>
      </c>
      <c r="N473" s="11" t="str">
        <f aca="false">TEXT(B473,"mmm")</f>
        <v>May</v>
      </c>
    </row>
    <row r="474" customFormat="false" ht="15" hidden="false" customHeight="false" outlineLevel="0" collapsed="false">
      <c r="A474" s="11" t="s">
        <v>535</v>
      </c>
      <c r="B474" s="20" t="n">
        <v>45795</v>
      </c>
      <c r="C474" s="11" t="s">
        <v>20</v>
      </c>
      <c r="D474" s="11" t="s">
        <v>37</v>
      </c>
      <c r="E474" s="11" t="s">
        <v>52</v>
      </c>
      <c r="F474" s="11" t="s">
        <v>44</v>
      </c>
      <c r="G474" s="11" t="n">
        <v>34</v>
      </c>
      <c r="H474" s="21" t="n">
        <v>12</v>
      </c>
      <c r="I474" s="21" t="n">
        <v>6</v>
      </c>
      <c r="J474" s="22" t="n">
        <v>0.1</v>
      </c>
      <c r="K474" s="21" t="n">
        <f aca="false">G474*H474*(1-J474)</f>
        <v>367.2</v>
      </c>
      <c r="L474" s="21" t="n">
        <f aca="false">G474*I474</f>
        <v>204</v>
      </c>
      <c r="M474" s="21" t="n">
        <f aca="false">K474-L474</f>
        <v>163.2</v>
      </c>
      <c r="N474" s="11" t="str">
        <f aca="false">TEXT(B474,"mmm")</f>
        <v>May</v>
      </c>
    </row>
    <row r="475" customFormat="false" ht="15" hidden="false" customHeight="false" outlineLevel="0" collapsed="false">
      <c r="A475" s="11" t="s">
        <v>536</v>
      </c>
      <c r="B475" s="20" t="n">
        <v>45795</v>
      </c>
      <c r="C475" s="11" t="s">
        <v>24</v>
      </c>
      <c r="D475" s="11" t="s">
        <v>37</v>
      </c>
      <c r="E475" s="11" t="s">
        <v>52</v>
      </c>
      <c r="F475" s="11" t="s">
        <v>44</v>
      </c>
      <c r="G475" s="11" t="n">
        <v>25</v>
      </c>
      <c r="H475" s="21" t="n">
        <v>12</v>
      </c>
      <c r="I475" s="21" t="n">
        <v>6</v>
      </c>
      <c r="J475" s="22" t="n">
        <v>0.05</v>
      </c>
      <c r="K475" s="21" t="n">
        <f aca="false">G475*H475*(1-J475)</f>
        <v>285</v>
      </c>
      <c r="L475" s="21" t="n">
        <f aca="false">G475*I475</f>
        <v>150</v>
      </c>
      <c r="M475" s="21" t="n">
        <f aca="false">K475-L475</f>
        <v>135</v>
      </c>
      <c r="N475" s="11" t="str">
        <f aca="false">TEXT(B475,"mmm")</f>
        <v>May</v>
      </c>
    </row>
    <row r="476" customFormat="false" ht="15" hidden="false" customHeight="false" outlineLevel="0" collapsed="false">
      <c r="A476" s="11" t="s">
        <v>537</v>
      </c>
      <c r="B476" s="20" t="n">
        <v>45796</v>
      </c>
      <c r="C476" s="11" t="s">
        <v>20</v>
      </c>
      <c r="D476" s="11" t="s">
        <v>35</v>
      </c>
      <c r="E476" s="11" t="s">
        <v>55</v>
      </c>
      <c r="F476" s="11" t="s">
        <v>44</v>
      </c>
      <c r="G476" s="11" t="n">
        <v>3</v>
      </c>
      <c r="H476" s="21" t="n">
        <v>150</v>
      </c>
      <c r="I476" s="21" t="n">
        <v>82</v>
      </c>
      <c r="J476" s="22" t="n">
        <v>0</v>
      </c>
      <c r="K476" s="21" t="n">
        <f aca="false">G476*H476*(1-J476)</f>
        <v>450</v>
      </c>
      <c r="L476" s="21" t="n">
        <f aca="false">G476*I476</f>
        <v>246</v>
      </c>
      <c r="M476" s="21" t="n">
        <f aca="false">K476-L476</f>
        <v>204</v>
      </c>
      <c r="N476" s="11" t="str">
        <f aca="false">TEXT(B476,"mmm")</f>
        <v>May</v>
      </c>
    </row>
    <row r="477" customFormat="false" ht="15" hidden="false" customHeight="false" outlineLevel="0" collapsed="false">
      <c r="A477" s="11" t="s">
        <v>538</v>
      </c>
      <c r="B477" s="20" t="n">
        <v>45796</v>
      </c>
      <c r="C477" s="11" t="s">
        <v>18</v>
      </c>
      <c r="D477" s="11" t="s">
        <v>35</v>
      </c>
      <c r="E477" s="11" t="s">
        <v>55</v>
      </c>
      <c r="F477" s="11" t="s">
        <v>45</v>
      </c>
      <c r="G477" s="11" t="n">
        <v>3</v>
      </c>
      <c r="H477" s="21" t="n">
        <v>150</v>
      </c>
      <c r="I477" s="21" t="n">
        <v>82</v>
      </c>
      <c r="J477" s="22" t="n">
        <v>0.15</v>
      </c>
      <c r="K477" s="21" t="n">
        <f aca="false">G477*H477*(1-J477)</f>
        <v>382.5</v>
      </c>
      <c r="L477" s="21" t="n">
        <f aca="false">G477*I477</f>
        <v>246</v>
      </c>
      <c r="M477" s="21" t="n">
        <f aca="false">K477-L477</f>
        <v>136.5</v>
      </c>
      <c r="N477" s="11" t="str">
        <f aca="false">TEXT(B477,"mmm")</f>
        <v>May</v>
      </c>
    </row>
    <row r="478" customFormat="false" ht="15" hidden="false" customHeight="false" outlineLevel="0" collapsed="false">
      <c r="A478" s="11" t="s">
        <v>539</v>
      </c>
      <c r="B478" s="20" t="n">
        <v>45796</v>
      </c>
      <c r="C478" s="11" t="s">
        <v>18</v>
      </c>
      <c r="D478" s="11" t="s">
        <v>37</v>
      </c>
      <c r="E478" s="11" t="s">
        <v>53</v>
      </c>
      <c r="F478" s="11" t="s">
        <v>45</v>
      </c>
      <c r="G478" s="11" t="n">
        <v>21</v>
      </c>
      <c r="H478" s="21" t="n">
        <v>9</v>
      </c>
      <c r="I478" s="21" t="n">
        <v>4.5</v>
      </c>
      <c r="J478" s="22" t="n">
        <v>0.1</v>
      </c>
      <c r="K478" s="21" t="n">
        <f aca="false">G478*H478*(1-J478)</f>
        <v>170.1</v>
      </c>
      <c r="L478" s="21" t="n">
        <f aca="false">G478*I478</f>
        <v>94.5</v>
      </c>
      <c r="M478" s="21" t="n">
        <f aca="false">K478-L478</f>
        <v>75.6</v>
      </c>
      <c r="N478" s="11" t="str">
        <f aca="false">TEXT(B478,"mmm")</f>
        <v>May</v>
      </c>
    </row>
    <row r="479" customFormat="false" ht="15" hidden="false" customHeight="false" outlineLevel="0" collapsed="false">
      <c r="A479" s="11" t="s">
        <v>540</v>
      </c>
      <c r="B479" s="20" t="n">
        <v>45796</v>
      </c>
      <c r="C479" s="11" t="s">
        <v>20</v>
      </c>
      <c r="D479" s="11" t="s">
        <v>37</v>
      </c>
      <c r="E479" s="11" t="s">
        <v>52</v>
      </c>
      <c r="F479" s="11" t="s">
        <v>45</v>
      </c>
      <c r="G479" s="11" t="n">
        <v>63</v>
      </c>
      <c r="H479" s="21" t="n">
        <v>12</v>
      </c>
      <c r="I479" s="21" t="n">
        <v>6</v>
      </c>
      <c r="J479" s="22" t="n">
        <v>0.2</v>
      </c>
      <c r="K479" s="21" t="n">
        <f aca="false">G479*H479*(1-J479)</f>
        <v>604.8</v>
      </c>
      <c r="L479" s="21" t="n">
        <f aca="false">G479*I479</f>
        <v>378</v>
      </c>
      <c r="M479" s="21" t="n">
        <f aca="false">K479-L479</f>
        <v>226.8</v>
      </c>
      <c r="N479" s="11" t="str">
        <f aca="false">TEXT(B479,"mmm")</f>
        <v>May</v>
      </c>
    </row>
    <row r="480" customFormat="false" ht="15" hidden="false" customHeight="false" outlineLevel="0" collapsed="false">
      <c r="A480" s="11" t="s">
        <v>541</v>
      </c>
      <c r="B480" s="20" t="n">
        <v>45796</v>
      </c>
      <c r="C480" s="11" t="s">
        <v>18</v>
      </c>
      <c r="D480" s="11" t="s">
        <v>35</v>
      </c>
      <c r="E480" s="11" t="s">
        <v>56</v>
      </c>
      <c r="F480" s="11" t="s">
        <v>42</v>
      </c>
      <c r="G480" s="11" t="n">
        <v>2</v>
      </c>
      <c r="H480" s="21" t="n">
        <v>110</v>
      </c>
      <c r="I480" s="21" t="n">
        <v>62</v>
      </c>
      <c r="J480" s="22" t="n">
        <v>0.1</v>
      </c>
      <c r="K480" s="21" t="n">
        <f aca="false">G480*H480*(1-J480)</f>
        <v>198</v>
      </c>
      <c r="L480" s="21" t="n">
        <f aca="false">G480*I480</f>
        <v>124</v>
      </c>
      <c r="M480" s="21" t="n">
        <f aca="false">K480-L480</f>
        <v>74</v>
      </c>
      <c r="N480" s="11" t="str">
        <f aca="false">TEXT(B480,"mmm")</f>
        <v>May</v>
      </c>
    </row>
    <row r="481" customFormat="false" ht="15" hidden="false" customHeight="false" outlineLevel="0" collapsed="false">
      <c r="A481" s="11" t="s">
        <v>542</v>
      </c>
      <c r="B481" s="20" t="n">
        <v>45796</v>
      </c>
      <c r="C481" s="11" t="s">
        <v>22</v>
      </c>
      <c r="D481" s="11" t="s">
        <v>35</v>
      </c>
      <c r="E481" s="11" t="s">
        <v>54</v>
      </c>
      <c r="F481" s="11" t="s">
        <v>44</v>
      </c>
      <c r="G481" s="11" t="n">
        <v>2</v>
      </c>
      <c r="H481" s="21" t="n">
        <v>320</v>
      </c>
      <c r="I481" s="21" t="n">
        <v>185</v>
      </c>
      <c r="J481" s="22" t="n">
        <v>0</v>
      </c>
      <c r="K481" s="21" t="n">
        <f aca="false">G481*H481*(1-J481)</f>
        <v>640</v>
      </c>
      <c r="L481" s="21" t="n">
        <f aca="false">G481*I481</f>
        <v>370</v>
      </c>
      <c r="M481" s="21" t="n">
        <f aca="false">K481-L481</f>
        <v>270</v>
      </c>
      <c r="N481" s="11" t="str">
        <f aca="false">TEXT(B481,"mmm")</f>
        <v>May</v>
      </c>
    </row>
    <row r="482" customFormat="false" ht="15" hidden="false" customHeight="false" outlineLevel="0" collapsed="false">
      <c r="A482" s="11" t="s">
        <v>543</v>
      </c>
      <c r="B482" s="20" t="n">
        <v>45796</v>
      </c>
      <c r="C482" s="11" t="s">
        <v>20</v>
      </c>
      <c r="D482" s="11" t="s">
        <v>33</v>
      </c>
      <c r="E482" s="11" t="s">
        <v>51</v>
      </c>
      <c r="F482" s="11" t="s">
        <v>44</v>
      </c>
      <c r="G482" s="11" t="n">
        <v>4</v>
      </c>
      <c r="H482" s="21" t="n">
        <v>90</v>
      </c>
      <c r="I482" s="21" t="n">
        <v>58</v>
      </c>
      <c r="J482" s="22" t="n">
        <v>0</v>
      </c>
      <c r="K482" s="21" t="n">
        <f aca="false">G482*H482*(1-J482)</f>
        <v>360</v>
      </c>
      <c r="L482" s="21" t="n">
        <f aca="false">G482*I482</f>
        <v>232</v>
      </c>
      <c r="M482" s="21" t="n">
        <f aca="false">K482-L482</f>
        <v>128</v>
      </c>
      <c r="N482" s="11" t="str">
        <f aca="false">TEXT(B482,"mmm")</f>
        <v>May</v>
      </c>
    </row>
    <row r="483" customFormat="false" ht="15" hidden="false" customHeight="false" outlineLevel="0" collapsed="false">
      <c r="A483" s="11" t="s">
        <v>544</v>
      </c>
      <c r="B483" s="20" t="n">
        <v>45796</v>
      </c>
      <c r="C483" s="11" t="s">
        <v>24</v>
      </c>
      <c r="D483" s="11" t="s">
        <v>37</v>
      </c>
      <c r="E483" s="11" t="s">
        <v>49</v>
      </c>
      <c r="F483" s="11" t="s">
        <v>44</v>
      </c>
      <c r="G483" s="11" t="n">
        <v>4</v>
      </c>
      <c r="H483" s="21" t="n">
        <v>28</v>
      </c>
      <c r="I483" s="21" t="n">
        <v>17</v>
      </c>
      <c r="J483" s="22" t="n">
        <v>0</v>
      </c>
      <c r="K483" s="21" t="n">
        <f aca="false">G483*H483*(1-J483)</f>
        <v>112</v>
      </c>
      <c r="L483" s="21" t="n">
        <f aca="false">G483*I483</f>
        <v>68</v>
      </c>
      <c r="M483" s="21" t="n">
        <f aca="false">K483-L483</f>
        <v>44</v>
      </c>
      <c r="N483" s="11" t="str">
        <f aca="false">TEXT(B483,"mmm")</f>
        <v>May</v>
      </c>
    </row>
    <row r="484" customFormat="false" ht="15" hidden="false" customHeight="false" outlineLevel="0" collapsed="false">
      <c r="A484" s="11" t="s">
        <v>545</v>
      </c>
      <c r="B484" s="20" t="n">
        <v>45796</v>
      </c>
      <c r="C484" s="11" t="s">
        <v>20</v>
      </c>
      <c r="D484" s="11" t="s">
        <v>33</v>
      </c>
      <c r="E484" s="11" t="s">
        <v>48</v>
      </c>
      <c r="F484" s="11" t="s">
        <v>45</v>
      </c>
      <c r="G484" s="11" t="n">
        <v>1</v>
      </c>
      <c r="H484" s="21" t="n">
        <v>520</v>
      </c>
      <c r="I484" s="21" t="n">
        <v>415</v>
      </c>
      <c r="J484" s="22" t="n">
        <v>0.1</v>
      </c>
      <c r="K484" s="21" t="n">
        <f aca="false">G484*H484*(1-J484)</f>
        <v>468</v>
      </c>
      <c r="L484" s="21" t="n">
        <f aca="false">G484*I484</f>
        <v>415</v>
      </c>
      <c r="M484" s="21" t="n">
        <f aca="false">K484-L484</f>
        <v>53</v>
      </c>
      <c r="N484" s="11" t="str">
        <f aca="false">TEXT(B484,"mmm")</f>
        <v>May</v>
      </c>
    </row>
    <row r="485" customFormat="false" ht="15" hidden="false" customHeight="false" outlineLevel="0" collapsed="false">
      <c r="A485" s="11" t="s">
        <v>546</v>
      </c>
      <c r="B485" s="20" t="n">
        <v>45797</v>
      </c>
      <c r="C485" s="11" t="s">
        <v>20</v>
      </c>
      <c r="D485" s="11" t="s">
        <v>37</v>
      </c>
      <c r="E485" s="11" t="s">
        <v>49</v>
      </c>
      <c r="F485" s="11" t="s">
        <v>44</v>
      </c>
      <c r="G485" s="11" t="n">
        <v>7</v>
      </c>
      <c r="H485" s="21" t="n">
        <v>28</v>
      </c>
      <c r="I485" s="21" t="n">
        <v>17</v>
      </c>
      <c r="J485" s="22" t="n">
        <v>0.05</v>
      </c>
      <c r="K485" s="21" t="n">
        <f aca="false">G485*H485*(1-J485)</f>
        <v>186.2</v>
      </c>
      <c r="L485" s="21" t="n">
        <f aca="false">G485*I485</f>
        <v>119</v>
      </c>
      <c r="M485" s="21" t="n">
        <f aca="false">K485-L485</f>
        <v>67.2</v>
      </c>
      <c r="N485" s="11" t="str">
        <f aca="false">TEXT(B485,"mmm")</f>
        <v>May</v>
      </c>
    </row>
    <row r="486" customFormat="false" ht="15" hidden="false" customHeight="false" outlineLevel="0" collapsed="false">
      <c r="A486" s="11" t="s">
        <v>547</v>
      </c>
      <c r="B486" s="20" t="n">
        <v>45797</v>
      </c>
      <c r="C486" s="11" t="s">
        <v>24</v>
      </c>
      <c r="D486" s="11" t="s">
        <v>35</v>
      </c>
      <c r="E486" s="11" t="s">
        <v>55</v>
      </c>
      <c r="F486" s="11" t="s">
        <v>44</v>
      </c>
      <c r="G486" s="11" t="n">
        <v>1</v>
      </c>
      <c r="H486" s="21" t="n">
        <v>150</v>
      </c>
      <c r="I486" s="21" t="n">
        <v>82</v>
      </c>
      <c r="J486" s="22" t="n">
        <v>0</v>
      </c>
      <c r="K486" s="21" t="n">
        <f aca="false">G486*H486*(1-J486)</f>
        <v>150</v>
      </c>
      <c r="L486" s="21" t="n">
        <f aca="false">G486*I486</f>
        <v>82</v>
      </c>
      <c r="M486" s="21" t="n">
        <f aca="false">K486-L486</f>
        <v>68</v>
      </c>
      <c r="N486" s="11" t="str">
        <f aca="false">TEXT(B486,"mmm")</f>
        <v>May</v>
      </c>
    </row>
    <row r="487" customFormat="false" ht="15" hidden="false" customHeight="false" outlineLevel="0" collapsed="false">
      <c r="A487" s="11" t="s">
        <v>548</v>
      </c>
      <c r="B487" s="20" t="n">
        <v>45797</v>
      </c>
      <c r="C487" s="11" t="s">
        <v>22</v>
      </c>
      <c r="D487" s="11" t="s">
        <v>35</v>
      </c>
      <c r="E487" s="11" t="s">
        <v>55</v>
      </c>
      <c r="F487" s="11" t="s">
        <v>44</v>
      </c>
      <c r="G487" s="11" t="n">
        <v>1</v>
      </c>
      <c r="H487" s="21" t="n">
        <v>150</v>
      </c>
      <c r="I487" s="21" t="n">
        <v>82</v>
      </c>
      <c r="J487" s="22" t="n">
        <v>0.05</v>
      </c>
      <c r="K487" s="21" t="n">
        <f aca="false">G487*H487*(1-J487)</f>
        <v>142.5</v>
      </c>
      <c r="L487" s="21" t="n">
        <f aca="false">G487*I487</f>
        <v>82</v>
      </c>
      <c r="M487" s="21" t="n">
        <f aca="false">K487-L487</f>
        <v>60.5</v>
      </c>
      <c r="N487" s="11" t="str">
        <f aca="false">TEXT(B487,"mmm")</f>
        <v>May</v>
      </c>
    </row>
    <row r="488" customFormat="false" ht="15" hidden="false" customHeight="false" outlineLevel="0" collapsed="false">
      <c r="A488" s="11" t="s">
        <v>549</v>
      </c>
      <c r="B488" s="20" t="n">
        <v>45797</v>
      </c>
      <c r="C488" s="11" t="s">
        <v>20</v>
      </c>
      <c r="D488" s="11" t="s">
        <v>33</v>
      </c>
      <c r="E488" s="11" t="s">
        <v>51</v>
      </c>
      <c r="F488" s="11" t="s">
        <v>42</v>
      </c>
      <c r="G488" s="11" t="n">
        <v>3</v>
      </c>
      <c r="H488" s="21" t="n">
        <v>90</v>
      </c>
      <c r="I488" s="21" t="n">
        <v>58</v>
      </c>
      <c r="J488" s="22" t="n">
        <v>0.1</v>
      </c>
      <c r="K488" s="21" t="n">
        <f aca="false">G488*H488*(1-J488)</f>
        <v>243</v>
      </c>
      <c r="L488" s="21" t="n">
        <f aca="false">G488*I488</f>
        <v>174</v>
      </c>
      <c r="M488" s="21" t="n">
        <f aca="false">K488-L488</f>
        <v>69</v>
      </c>
      <c r="N488" s="11" t="str">
        <f aca="false">TEXT(B488,"mmm")</f>
        <v>May</v>
      </c>
    </row>
    <row r="489" customFormat="false" ht="15" hidden="false" customHeight="false" outlineLevel="0" collapsed="false">
      <c r="A489" s="11" t="s">
        <v>550</v>
      </c>
      <c r="B489" s="20" t="n">
        <v>45798</v>
      </c>
      <c r="C489" s="11" t="s">
        <v>24</v>
      </c>
      <c r="D489" s="11" t="s">
        <v>37</v>
      </c>
      <c r="E489" s="11" t="s">
        <v>49</v>
      </c>
      <c r="F489" s="11" t="s">
        <v>45</v>
      </c>
      <c r="G489" s="11" t="n">
        <v>99</v>
      </c>
      <c r="H489" s="21" t="n">
        <v>28</v>
      </c>
      <c r="I489" s="21" t="n">
        <v>17</v>
      </c>
      <c r="J489" s="22" t="n">
        <v>0.15</v>
      </c>
      <c r="K489" s="21" t="n">
        <f aca="false">G489*H489*(1-J489)</f>
        <v>2356.2</v>
      </c>
      <c r="L489" s="21" t="n">
        <f aca="false">G489*I489</f>
        <v>1683</v>
      </c>
      <c r="M489" s="21" t="n">
        <f aca="false">K489-L489</f>
        <v>673.2</v>
      </c>
      <c r="N489" s="11" t="str">
        <f aca="false">TEXT(B489,"mmm")</f>
        <v>May</v>
      </c>
    </row>
    <row r="490" customFormat="false" ht="15" hidden="false" customHeight="false" outlineLevel="0" collapsed="false">
      <c r="A490" s="11" t="s">
        <v>551</v>
      </c>
      <c r="B490" s="20" t="n">
        <v>45798</v>
      </c>
      <c r="C490" s="11" t="s">
        <v>22</v>
      </c>
      <c r="D490" s="11" t="s">
        <v>33</v>
      </c>
      <c r="E490" s="11" t="s">
        <v>51</v>
      </c>
      <c r="F490" s="11" t="s">
        <v>44</v>
      </c>
      <c r="G490" s="11" t="n">
        <v>2</v>
      </c>
      <c r="H490" s="21" t="n">
        <v>90</v>
      </c>
      <c r="I490" s="21" t="n">
        <v>58</v>
      </c>
      <c r="J490" s="22" t="n">
        <v>0</v>
      </c>
      <c r="K490" s="21" t="n">
        <f aca="false">G490*H490*(1-J490)</f>
        <v>180</v>
      </c>
      <c r="L490" s="21" t="n">
        <f aca="false">G490*I490</f>
        <v>116</v>
      </c>
      <c r="M490" s="21" t="n">
        <f aca="false">K490-L490</f>
        <v>64</v>
      </c>
      <c r="N490" s="11" t="str">
        <f aca="false">TEXT(B490,"mmm")</f>
        <v>May</v>
      </c>
    </row>
    <row r="491" customFormat="false" ht="15" hidden="false" customHeight="false" outlineLevel="0" collapsed="false">
      <c r="A491" s="11" t="s">
        <v>552</v>
      </c>
      <c r="B491" s="20" t="n">
        <v>45798</v>
      </c>
      <c r="C491" s="11" t="s">
        <v>24</v>
      </c>
      <c r="D491" s="11" t="s">
        <v>37</v>
      </c>
      <c r="E491" s="11" t="s">
        <v>52</v>
      </c>
      <c r="F491" s="11" t="s">
        <v>42</v>
      </c>
      <c r="G491" s="11" t="n">
        <v>11</v>
      </c>
      <c r="H491" s="21" t="n">
        <v>12</v>
      </c>
      <c r="I491" s="21" t="n">
        <v>6</v>
      </c>
      <c r="J491" s="22" t="n">
        <v>0.1</v>
      </c>
      <c r="K491" s="21" t="n">
        <f aca="false">G491*H491*(1-J491)</f>
        <v>118.8</v>
      </c>
      <c r="L491" s="21" t="n">
        <f aca="false">G491*I491</f>
        <v>66</v>
      </c>
      <c r="M491" s="21" t="n">
        <f aca="false">K491-L491</f>
        <v>52.8</v>
      </c>
      <c r="N491" s="11" t="str">
        <f aca="false">TEXT(B491,"mmm")</f>
        <v>May</v>
      </c>
    </row>
    <row r="492" customFormat="false" ht="15" hidden="false" customHeight="false" outlineLevel="0" collapsed="false">
      <c r="A492" s="11" t="s">
        <v>553</v>
      </c>
      <c r="B492" s="20" t="n">
        <v>45799</v>
      </c>
      <c r="C492" s="11" t="s">
        <v>22</v>
      </c>
      <c r="D492" s="11" t="s">
        <v>37</v>
      </c>
      <c r="E492" s="11" t="s">
        <v>52</v>
      </c>
      <c r="F492" s="11" t="s">
        <v>42</v>
      </c>
      <c r="G492" s="11" t="n">
        <v>16</v>
      </c>
      <c r="H492" s="21" t="n">
        <v>12</v>
      </c>
      <c r="I492" s="21" t="n">
        <v>6</v>
      </c>
      <c r="J492" s="22" t="n">
        <v>0.1</v>
      </c>
      <c r="K492" s="21" t="n">
        <f aca="false">G492*H492*(1-J492)</f>
        <v>172.8</v>
      </c>
      <c r="L492" s="21" t="n">
        <f aca="false">G492*I492</f>
        <v>96</v>
      </c>
      <c r="M492" s="21" t="n">
        <f aca="false">K492-L492</f>
        <v>76.8</v>
      </c>
      <c r="N492" s="11" t="str">
        <f aca="false">TEXT(B492,"mmm")</f>
        <v>May</v>
      </c>
    </row>
    <row r="493" customFormat="false" ht="15" hidden="false" customHeight="false" outlineLevel="0" collapsed="false">
      <c r="A493" s="11" t="s">
        <v>554</v>
      </c>
      <c r="B493" s="20" t="n">
        <v>45799</v>
      </c>
      <c r="C493" s="11" t="s">
        <v>22</v>
      </c>
      <c r="D493" s="11" t="s">
        <v>37</v>
      </c>
      <c r="E493" s="11" t="s">
        <v>53</v>
      </c>
      <c r="F493" s="11" t="s">
        <v>44</v>
      </c>
      <c r="G493" s="11" t="n">
        <v>9</v>
      </c>
      <c r="H493" s="21" t="n">
        <v>9</v>
      </c>
      <c r="I493" s="21" t="n">
        <v>4.5</v>
      </c>
      <c r="J493" s="22" t="n">
        <v>0.1</v>
      </c>
      <c r="K493" s="21" t="n">
        <f aca="false">G493*H493*(1-J493)</f>
        <v>72.9</v>
      </c>
      <c r="L493" s="21" t="n">
        <f aca="false">G493*I493</f>
        <v>40.5</v>
      </c>
      <c r="M493" s="21" t="n">
        <f aca="false">K493-L493</f>
        <v>32.4</v>
      </c>
      <c r="N493" s="11" t="str">
        <f aca="false">TEXT(B493,"mmm")</f>
        <v>May</v>
      </c>
    </row>
    <row r="494" customFormat="false" ht="15" hidden="false" customHeight="false" outlineLevel="0" collapsed="false">
      <c r="A494" s="11" t="s">
        <v>555</v>
      </c>
      <c r="B494" s="20" t="n">
        <v>45799</v>
      </c>
      <c r="C494" s="11" t="s">
        <v>18</v>
      </c>
      <c r="D494" s="11" t="s">
        <v>37</v>
      </c>
      <c r="E494" s="11" t="s">
        <v>49</v>
      </c>
      <c r="F494" s="11" t="s">
        <v>44</v>
      </c>
      <c r="G494" s="11" t="n">
        <v>9</v>
      </c>
      <c r="H494" s="21" t="n">
        <v>28</v>
      </c>
      <c r="I494" s="21" t="n">
        <v>17</v>
      </c>
      <c r="J494" s="22" t="n">
        <v>0</v>
      </c>
      <c r="K494" s="21" t="n">
        <f aca="false">G494*H494*(1-J494)</f>
        <v>252</v>
      </c>
      <c r="L494" s="21" t="n">
        <f aca="false">G494*I494</f>
        <v>153</v>
      </c>
      <c r="M494" s="21" t="n">
        <f aca="false">K494-L494</f>
        <v>99</v>
      </c>
      <c r="N494" s="11" t="str">
        <f aca="false">TEXT(B494,"mmm")</f>
        <v>May</v>
      </c>
    </row>
    <row r="495" customFormat="false" ht="15" hidden="false" customHeight="false" outlineLevel="0" collapsed="false">
      <c r="A495" s="11" t="s">
        <v>556</v>
      </c>
      <c r="B495" s="20" t="n">
        <v>45799</v>
      </c>
      <c r="C495" s="11" t="s">
        <v>24</v>
      </c>
      <c r="D495" s="11" t="s">
        <v>37</v>
      </c>
      <c r="E495" s="11" t="s">
        <v>49</v>
      </c>
      <c r="F495" s="11" t="s">
        <v>42</v>
      </c>
      <c r="G495" s="11" t="n">
        <v>35</v>
      </c>
      <c r="H495" s="21" t="n">
        <v>28</v>
      </c>
      <c r="I495" s="21" t="n">
        <v>17</v>
      </c>
      <c r="J495" s="22" t="n">
        <v>0</v>
      </c>
      <c r="K495" s="21" t="n">
        <f aca="false">G495*H495*(1-J495)</f>
        <v>980</v>
      </c>
      <c r="L495" s="21" t="n">
        <f aca="false">G495*I495</f>
        <v>595</v>
      </c>
      <c r="M495" s="21" t="n">
        <f aca="false">K495-L495</f>
        <v>385</v>
      </c>
      <c r="N495" s="11" t="str">
        <f aca="false">TEXT(B495,"mmm")</f>
        <v>May</v>
      </c>
    </row>
    <row r="496" customFormat="false" ht="15" hidden="false" customHeight="false" outlineLevel="0" collapsed="false">
      <c r="A496" s="11" t="s">
        <v>557</v>
      </c>
      <c r="B496" s="20" t="n">
        <v>45799</v>
      </c>
      <c r="C496" s="11" t="s">
        <v>20</v>
      </c>
      <c r="D496" s="11" t="s">
        <v>37</v>
      </c>
      <c r="E496" s="11" t="s">
        <v>53</v>
      </c>
      <c r="F496" s="11" t="s">
        <v>42</v>
      </c>
      <c r="G496" s="11" t="n">
        <v>14</v>
      </c>
      <c r="H496" s="21" t="n">
        <v>9</v>
      </c>
      <c r="I496" s="21" t="n">
        <v>4.5</v>
      </c>
      <c r="J496" s="22" t="n">
        <v>0.1</v>
      </c>
      <c r="K496" s="21" t="n">
        <f aca="false">G496*H496*(1-J496)</f>
        <v>113.4</v>
      </c>
      <c r="L496" s="21" t="n">
        <f aca="false">G496*I496</f>
        <v>63</v>
      </c>
      <c r="M496" s="21" t="n">
        <f aca="false">K496-L496</f>
        <v>50.4</v>
      </c>
      <c r="N496" s="11" t="str">
        <f aca="false">TEXT(B496,"mmm")</f>
        <v>May</v>
      </c>
    </row>
    <row r="497" customFormat="false" ht="15" hidden="false" customHeight="false" outlineLevel="0" collapsed="false">
      <c r="A497" s="11" t="s">
        <v>558</v>
      </c>
      <c r="B497" s="20" t="n">
        <v>45799</v>
      </c>
      <c r="C497" s="11" t="s">
        <v>20</v>
      </c>
      <c r="D497" s="11" t="s">
        <v>35</v>
      </c>
      <c r="E497" s="11" t="s">
        <v>55</v>
      </c>
      <c r="F497" s="11" t="s">
        <v>42</v>
      </c>
      <c r="G497" s="11" t="n">
        <v>4</v>
      </c>
      <c r="H497" s="21" t="n">
        <v>150</v>
      </c>
      <c r="I497" s="21" t="n">
        <v>82</v>
      </c>
      <c r="J497" s="22" t="n">
        <v>0.1</v>
      </c>
      <c r="K497" s="21" t="n">
        <f aca="false">G497*H497*(1-J497)</f>
        <v>540</v>
      </c>
      <c r="L497" s="21" t="n">
        <f aca="false">G497*I497</f>
        <v>328</v>
      </c>
      <c r="M497" s="21" t="n">
        <f aca="false">K497-L497</f>
        <v>212</v>
      </c>
      <c r="N497" s="11" t="str">
        <f aca="false">TEXT(B497,"mmm")</f>
        <v>May</v>
      </c>
    </row>
    <row r="498" customFormat="false" ht="15" hidden="false" customHeight="false" outlineLevel="0" collapsed="false">
      <c r="A498" s="11" t="s">
        <v>559</v>
      </c>
      <c r="B498" s="20" t="n">
        <v>45799</v>
      </c>
      <c r="C498" s="11" t="s">
        <v>22</v>
      </c>
      <c r="D498" s="11" t="s">
        <v>35</v>
      </c>
      <c r="E498" s="11" t="s">
        <v>55</v>
      </c>
      <c r="F498" s="11" t="s">
        <v>44</v>
      </c>
      <c r="G498" s="11" t="n">
        <v>2</v>
      </c>
      <c r="H498" s="21" t="n">
        <v>150</v>
      </c>
      <c r="I498" s="21" t="n">
        <v>82</v>
      </c>
      <c r="J498" s="22" t="n">
        <v>0</v>
      </c>
      <c r="K498" s="21" t="n">
        <f aca="false">G498*H498*(1-J498)</f>
        <v>300</v>
      </c>
      <c r="L498" s="21" t="n">
        <f aca="false">G498*I498</f>
        <v>164</v>
      </c>
      <c r="M498" s="21" t="n">
        <f aca="false">K498-L498</f>
        <v>136</v>
      </c>
      <c r="N498" s="11" t="str">
        <f aca="false">TEXT(B498,"mmm")</f>
        <v>May</v>
      </c>
    </row>
    <row r="499" customFormat="false" ht="15" hidden="false" customHeight="false" outlineLevel="0" collapsed="false">
      <c r="A499" s="11" t="s">
        <v>560</v>
      </c>
      <c r="B499" s="20" t="n">
        <v>45799</v>
      </c>
      <c r="C499" s="11" t="s">
        <v>20</v>
      </c>
      <c r="D499" s="11" t="s">
        <v>37</v>
      </c>
      <c r="E499" s="11" t="s">
        <v>52</v>
      </c>
      <c r="F499" s="11" t="s">
        <v>42</v>
      </c>
      <c r="G499" s="11" t="n">
        <v>18</v>
      </c>
      <c r="H499" s="21" t="n">
        <v>12</v>
      </c>
      <c r="I499" s="21" t="n">
        <v>6</v>
      </c>
      <c r="J499" s="22" t="n">
        <v>0</v>
      </c>
      <c r="K499" s="21" t="n">
        <f aca="false">G499*H499*(1-J499)</f>
        <v>216</v>
      </c>
      <c r="L499" s="21" t="n">
        <f aca="false">G499*I499</f>
        <v>108</v>
      </c>
      <c r="M499" s="21" t="n">
        <f aca="false">K499-L499</f>
        <v>108</v>
      </c>
      <c r="N499" s="11" t="str">
        <f aca="false">TEXT(B499,"mmm")</f>
        <v>May</v>
      </c>
    </row>
    <row r="500" customFormat="false" ht="15" hidden="false" customHeight="false" outlineLevel="0" collapsed="false">
      <c r="A500" s="11" t="s">
        <v>561</v>
      </c>
      <c r="B500" s="20" t="n">
        <v>45800</v>
      </c>
      <c r="C500" s="11" t="s">
        <v>20</v>
      </c>
      <c r="D500" s="11" t="s">
        <v>37</v>
      </c>
      <c r="E500" s="11" t="s">
        <v>49</v>
      </c>
      <c r="F500" s="11" t="s">
        <v>42</v>
      </c>
      <c r="G500" s="11" t="n">
        <v>16</v>
      </c>
      <c r="H500" s="21" t="n">
        <v>28</v>
      </c>
      <c r="I500" s="21" t="n">
        <v>17</v>
      </c>
      <c r="J500" s="22" t="n">
        <v>0.1</v>
      </c>
      <c r="K500" s="21" t="n">
        <f aca="false">G500*H500*(1-J500)</f>
        <v>403.2</v>
      </c>
      <c r="L500" s="21" t="n">
        <f aca="false">G500*I500</f>
        <v>272</v>
      </c>
      <c r="M500" s="21" t="n">
        <f aca="false">K500-L500</f>
        <v>131.2</v>
      </c>
      <c r="N500" s="11" t="str">
        <f aca="false">TEXT(B500,"mmm")</f>
        <v>May</v>
      </c>
    </row>
    <row r="501" customFormat="false" ht="15" hidden="false" customHeight="false" outlineLevel="0" collapsed="false">
      <c r="A501" s="11" t="s">
        <v>562</v>
      </c>
      <c r="B501" s="20" t="n">
        <v>45800</v>
      </c>
      <c r="C501" s="11" t="s">
        <v>18</v>
      </c>
      <c r="D501" s="11" t="s">
        <v>37</v>
      </c>
      <c r="E501" s="11" t="s">
        <v>49</v>
      </c>
      <c r="F501" s="11" t="s">
        <v>45</v>
      </c>
      <c r="G501" s="11" t="n">
        <v>93</v>
      </c>
      <c r="H501" s="21" t="n">
        <v>28</v>
      </c>
      <c r="I501" s="21" t="n">
        <v>17</v>
      </c>
      <c r="J501" s="22" t="n">
        <v>0.1</v>
      </c>
      <c r="K501" s="21" t="n">
        <f aca="false">G501*H501*(1-J501)</f>
        <v>2343.6</v>
      </c>
      <c r="L501" s="21" t="n">
        <f aca="false">G501*I501</f>
        <v>1581</v>
      </c>
      <c r="M501" s="21" t="n">
        <f aca="false">K501-L501</f>
        <v>762.6</v>
      </c>
      <c r="N501" s="11" t="str">
        <f aca="false">TEXT(B501,"mmm")</f>
        <v>May</v>
      </c>
    </row>
    <row r="502" customFormat="false" ht="15" hidden="false" customHeight="false" outlineLevel="0" collapsed="false">
      <c r="A502" s="11" t="s">
        <v>563</v>
      </c>
      <c r="B502" s="20" t="n">
        <v>45800</v>
      </c>
      <c r="C502" s="11" t="s">
        <v>18</v>
      </c>
      <c r="D502" s="11" t="s">
        <v>37</v>
      </c>
      <c r="E502" s="11" t="s">
        <v>52</v>
      </c>
      <c r="F502" s="11" t="s">
        <v>45</v>
      </c>
      <c r="G502" s="11" t="n">
        <v>96</v>
      </c>
      <c r="H502" s="21" t="n">
        <v>12</v>
      </c>
      <c r="I502" s="21" t="n">
        <v>6</v>
      </c>
      <c r="J502" s="22" t="n">
        <v>0.1</v>
      </c>
      <c r="K502" s="21" t="n">
        <f aca="false">G502*H502*(1-J502)</f>
        <v>1036.8</v>
      </c>
      <c r="L502" s="21" t="n">
        <f aca="false">G502*I502</f>
        <v>576</v>
      </c>
      <c r="M502" s="21" t="n">
        <f aca="false">K502-L502</f>
        <v>460.8</v>
      </c>
      <c r="N502" s="11" t="str">
        <f aca="false">TEXT(B502,"mmm")</f>
        <v>May</v>
      </c>
    </row>
    <row r="503" customFormat="false" ht="15" hidden="false" customHeight="false" outlineLevel="0" collapsed="false">
      <c r="A503" s="11" t="s">
        <v>564</v>
      </c>
      <c r="B503" s="20" t="n">
        <v>45800</v>
      </c>
      <c r="C503" s="11" t="s">
        <v>22</v>
      </c>
      <c r="D503" s="11" t="s">
        <v>37</v>
      </c>
      <c r="E503" s="11" t="s">
        <v>49</v>
      </c>
      <c r="F503" s="11" t="s">
        <v>42</v>
      </c>
      <c r="G503" s="11" t="n">
        <v>14</v>
      </c>
      <c r="H503" s="21" t="n">
        <v>28</v>
      </c>
      <c r="I503" s="21" t="n">
        <v>17</v>
      </c>
      <c r="J503" s="22" t="n">
        <v>0.1</v>
      </c>
      <c r="K503" s="21" t="n">
        <f aca="false">G503*H503*(1-J503)</f>
        <v>352.8</v>
      </c>
      <c r="L503" s="21" t="n">
        <f aca="false">G503*I503</f>
        <v>238</v>
      </c>
      <c r="M503" s="21" t="n">
        <f aca="false">K503-L503</f>
        <v>114.8</v>
      </c>
      <c r="N503" s="11" t="str">
        <f aca="false">TEXT(B503,"mmm")</f>
        <v>May</v>
      </c>
    </row>
    <row r="504" customFormat="false" ht="15" hidden="false" customHeight="false" outlineLevel="0" collapsed="false">
      <c r="A504" s="11" t="s">
        <v>565</v>
      </c>
      <c r="B504" s="20" t="n">
        <v>45800</v>
      </c>
      <c r="C504" s="11" t="s">
        <v>18</v>
      </c>
      <c r="D504" s="11" t="s">
        <v>37</v>
      </c>
      <c r="E504" s="11" t="s">
        <v>52</v>
      </c>
      <c r="F504" s="11" t="s">
        <v>42</v>
      </c>
      <c r="G504" s="11" t="n">
        <v>26</v>
      </c>
      <c r="H504" s="21" t="n">
        <v>12</v>
      </c>
      <c r="I504" s="21" t="n">
        <v>6</v>
      </c>
      <c r="J504" s="22" t="n">
        <v>0.15</v>
      </c>
      <c r="K504" s="21" t="n">
        <f aca="false">G504*H504*(1-J504)</f>
        <v>265.2</v>
      </c>
      <c r="L504" s="21" t="n">
        <f aca="false">G504*I504</f>
        <v>156</v>
      </c>
      <c r="M504" s="21" t="n">
        <f aca="false">K504-L504</f>
        <v>109.2</v>
      </c>
      <c r="N504" s="11" t="str">
        <f aca="false">TEXT(B504,"mmm")</f>
        <v>May</v>
      </c>
    </row>
    <row r="505" customFormat="false" ht="15" hidden="false" customHeight="false" outlineLevel="0" collapsed="false">
      <c r="A505" s="11" t="s">
        <v>566</v>
      </c>
      <c r="B505" s="20" t="n">
        <v>45800</v>
      </c>
      <c r="C505" s="11" t="s">
        <v>18</v>
      </c>
      <c r="D505" s="11" t="s">
        <v>33</v>
      </c>
      <c r="E505" s="11" t="s">
        <v>51</v>
      </c>
      <c r="F505" s="11" t="s">
        <v>42</v>
      </c>
      <c r="G505" s="11" t="n">
        <v>6</v>
      </c>
      <c r="H505" s="21" t="n">
        <v>90</v>
      </c>
      <c r="I505" s="21" t="n">
        <v>58</v>
      </c>
      <c r="J505" s="22" t="n">
        <v>0</v>
      </c>
      <c r="K505" s="21" t="n">
        <f aca="false">G505*H505*(1-J505)</f>
        <v>540</v>
      </c>
      <c r="L505" s="21" t="n">
        <f aca="false">G505*I505</f>
        <v>348</v>
      </c>
      <c r="M505" s="21" t="n">
        <f aca="false">K505-L505</f>
        <v>192</v>
      </c>
      <c r="N505" s="11" t="str">
        <f aca="false">TEXT(B505,"mmm")</f>
        <v>May</v>
      </c>
    </row>
    <row r="506" customFormat="false" ht="15" hidden="false" customHeight="false" outlineLevel="0" collapsed="false">
      <c r="A506" s="11" t="s">
        <v>567</v>
      </c>
      <c r="B506" s="20" t="n">
        <v>45800</v>
      </c>
      <c r="C506" s="11" t="s">
        <v>20</v>
      </c>
      <c r="D506" s="11" t="s">
        <v>33</v>
      </c>
      <c r="E506" s="11" t="s">
        <v>48</v>
      </c>
      <c r="F506" s="11" t="s">
        <v>44</v>
      </c>
      <c r="G506" s="11" t="n">
        <v>2</v>
      </c>
      <c r="H506" s="21" t="n">
        <v>520</v>
      </c>
      <c r="I506" s="21" t="n">
        <v>415</v>
      </c>
      <c r="J506" s="22" t="n">
        <v>0.1</v>
      </c>
      <c r="K506" s="21" t="n">
        <f aca="false">G506*H506*(1-J506)</f>
        <v>936</v>
      </c>
      <c r="L506" s="21" t="n">
        <f aca="false">G506*I506</f>
        <v>830</v>
      </c>
      <c r="M506" s="21" t="n">
        <f aca="false">K506-L506</f>
        <v>106</v>
      </c>
      <c r="N506" s="11" t="str">
        <f aca="false">TEXT(B506,"mmm")</f>
        <v>May</v>
      </c>
    </row>
    <row r="507" customFormat="false" ht="15" hidden="false" customHeight="false" outlineLevel="0" collapsed="false">
      <c r="A507" s="11" t="s">
        <v>568</v>
      </c>
      <c r="B507" s="20" t="n">
        <v>45800</v>
      </c>
      <c r="C507" s="11" t="s">
        <v>24</v>
      </c>
      <c r="D507" s="11" t="s">
        <v>33</v>
      </c>
      <c r="E507" s="11" t="s">
        <v>48</v>
      </c>
      <c r="F507" s="11" t="s">
        <v>42</v>
      </c>
      <c r="G507" s="11" t="n">
        <v>3</v>
      </c>
      <c r="H507" s="21" t="n">
        <v>520</v>
      </c>
      <c r="I507" s="21" t="n">
        <v>415</v>
      </c>
      <c r="J507" s="22" t="n">
        <v>0.05</v>
      </c>
      <c r="K507" s="21" t="n">
        <f aca="false">G507*H507*(1-J507)</f>
        <v>1482</v>
      </c>
      <c r="L507" s="21" t="n">
        <f aca="false">G507*I507</f>
        <v>1245</v>
      </c>
      <c r="M507" s="21" t="n">
        <f aca="false">K507-L507</f>
        <v>237</v>
      </c>
      <c r="N507" s="11" t="str">
        <f aca="false">TEXT(B507,"mmm")</f>
        <v>May</v>
      </c>
    </row>
    <row r="508" customFormat="false" ht="15" hidden="false" customHeight="false" outlineLevel="0" collapsed="false">
      <c r="A508" s="11" t="s">
        <v>569</v>
      </c>
      <c r="B508" s="20" t="n">
        <v>45801</v>
      </c>
      <c r="C508" s="11" t="s">
        <v>24</v>
      </c>
      <c r="D508" s="11" t="s">
        <v>33</v>
      </c>
      <c r="E508" s="11" t="s">
        <v>48</v>
      </c>
      <c r="F508" s="11" t="s">
        <v>44</v>
      </c>
      <c r="G508" s="11" t="n">
        <v>1</v>
      </c>
      <c r="H508" s="21" t="n">
        <v>520</v>
      </c>
      <c r="I508" s="21" t="n">
        <v>415</v>
      </c>
      <c r="J508" s="22" t="n">
        <v>0</v>
      </c>
      <c r="K508" s="21" t="n">
        <f aca="false">G508*H508*(1-J508)</f>
        <v>520</v>
      </c>
      <c r="L508" s="21" t="n">
        <f aca="false">G508*I508</f>
        <v>415</v>
      </c>
      <c r="M508" s="21" t="n">
        <f aca="false">K508-L508</f>
        <v>105</v>
      </c>
      <c r="N508" s="11" t="str">
        <f aca="false">TEXT(B508,"mmm")</f>
        <v>May</v>
      </c>
    </row>
    <row r="509" customFormat="false" ht="15" hidden="false" customHeight="false" outlineLevel="0" collapsed="false">
      <c r="A509" s="11" t="s">
        <v>570</v>
      </c>
      <c r="B509" s="20" t="n">
        <v>45801</v>
      </c>
      <c r="C509" s="11" t="s">
        <v>22</v>
      </c>
      <c r="D509" s="11" t="s">
        <v>37</v>
      </c>
      <c r="E509" s="11" t="s">
        <v>49</v>
      </c>
      <c r="F509" s="11" t="s">
        <v>42</v>
      </c>
      <c r="G509" s="11" t="n">
        <v>22</v>
      </c>
      <c r="H509" s="21" t="n">
        <v>28</v>
      </c>
      <c r="I509" s="21" t="n">
        <v>17</v>
      </c>
      <c r="J509" s="22" t="n">
        <v>0</v>
      </c>
      <c r="K509" s="21" t="n">
        <f aca="false">G509*H509*(1-J509)</f>
        <v>616</v>
      </c>
      <c r="L509" s="21" t="n">
        <f aca="false">G509*I509</f>
        <v>374</v>
      </c>
      <c r="M509" s="21" t="n">
        <f aca="false">K509-L509</f>
        <v>242</v>
      </c>
      <c r="N509" s="11" t="str">
        <f aca="false">TEXT(B509,"mmm")</f>
        <v>May</v>
      </c>
    </row>
    <row r="510" customFormat="false" ht="15" hidden="false" customHeight="false" outlineLevel="0" collapsed="false">
      <c r="A510" s="11" t="s">
        <v>571</v>
      </c>
      <c r="B510" s="20" t="n">
        <v>45801</v>
      </c>
      <c r="C510" s="11" t="s">
        <v>20</v>
      </c>
      <c r="D510" s="11" t="s">
        <v>35</v>
      </c>
      <c r="E510" s="11" t="s">
        <v>54</v>
      </c>
      <c r="F510" s="11" t="s">
        <v>44</v>
      </c>
      <c r="G510" s="11" t="n">
        <v>3</v>
      </c>
      <c r="H510" s="21" t="n">
        <v>320</v>
      </c>
      <c r="I510" s="21" t="n">
        <v>185</v>
      </c>
      <c r="J510" s="22" t="n">
        <v>0.1</v>
      </c>
      <c r="K510" s="21" t="n">
        <f aca="false">G510*H510*(1-J510)</f>
        <v>864</v>
      </c>
      <c r="L510" s="21" t="n">
        <f aca="false">G510*I510</f>
        <v>555</v>
      </c>
      <c r="M510" s="21" t="n">
        <f aca="false">K510-L510</f>
        <v>309</v>
      </c>
      <c r="N510" s="11" t="str">
        <f aca="false">TEXT(B510,"mmm")</f>
        <v>May</v>
      </c>
    </row>
    <row r="511" customFormat="false" ht="15" hidden="false" customHeight="false" outlineLevel="0" collapsed="false">
      <c r="A511" s="11" t="s">
        <v>572</v>
      </c>
      <c r="B511" s="20" t="n">
        <v>45801</v>
      </c>
      <c r="C511" s="11" t="s">
        <v>22</v>
      </c>
      <c r="D511" s="11" t="s">
        <v>37</v>
      </c>
      <c r="E511" s="11" t="s">
        <v>52</v>
      </c>
      <c r="F511" s="11" t="s">
        <v>42</v>
      </c>
      <c r="G511" s="11" t="n">
        <v>22</v>
      </c>
      <c r="H511" s="21" t="n">
        <v>12</v>
      </c>
      <c r="I511" s="21" t="n">
        <v>6</v>
      </c>
      <c r="J511" s="22" t="n">
        <v>0.05</v>
      </c>
      <c r="K511" s="21" t="n">
        <f aca="false">G511*H511*(1-J511)</f>
        <v>250.8</v>
      </c>
      <c r="L511" s="21" t="n">
        <f aca="false">G511*I511</f>
        <v>132</v>
      </c>
      <c r="M511" s="21" t="n">
        <f aca="false">K511-L511</f>
        <v>118.8</v>
      </c>
      <c r="N511" s="11" t="str">
        <f aca="false">TEXT(B511,"mmm")</f>
        <v>May</v>
      </c>
    </row>
    <row r="512" customFormat="false" ht="15" hidden="false" customHeight="false" outlineLevel="0" collapsed="false">
      <c r="A512" s="11" t="s">
        <v>573</v>
      </c>
      <c r="B512" s="20" t="n">
        <v>45801</v>
      </c>
      <c r="C512" s="11" t="s">
        <v>24</v>
      </c>
      <c r="D512" s="11" t="s">
        <v>37</v>
      </c>
      <c r="E512" s="11" t="s">
        <v>52</v>
      </c>
      <c r="F512" s="11" t="s">
        <v>45</v>
      </c>
      <c r="G512" s="11" t="n">
        <v>27</v>
      </c>
      <c r="H512" s="21" t="n">
        <v>12</v>
      </c>
      <c r="I512" s="21" t="n">
        <v>6</v>
      </c>
      <c r="J512" s="22" t="n">
        <v>0.1</v>
      </c>
      <c r="K512" s="21" t="n">
        <f aca="false">G512*H512*(1-J512)</f>
        <v>291.6</v>
      </c>
      <c r="L512" s="21" t="n">
        <f aca="false">G512*I512</f>
        <v>162</v>
      </c>
      <c r="M512" s="21" t="n">
        <f aca="false">K512-L512</f>
        <v>129.6</v>
      </c>
      <c r="N512" s="11" t="str">
        <f aca="false">TEXT(B512,"mmm")</f>
        <v>May</v>
      </c>
    </row>
    <row r="513" customFormat="false" ht="15" hidden="false" customHeight="false" outlineLevel="0" collapsed="false">
      <c r="A513" s="11" t="s">
        <v>574</v>
      </c>
      <c r="B513" s="20" t="n">
        <v>45801</v>
      </c>
      <c r="C513" s="11" t="s">
        <v>18</v>
      </c>
      <c r="D513" s="11" t="s">
        <v>33</v>
      </c>
      <c r="E513" s="11" t="s">
        <v>51</v>
      </c>
      <c r="F513" s="11" t="s">
        <v>44</v>
      </c>
      <c r="G513" s="11" t="n">
        <v>2</v>
      </c>
      <c r="H513" s="21" t="n">
        <v>90</v>
      </c>
      <c r="I513" s="21" t="n">
        <v>58</v>
      </c>
      <c r="J513" s="22" t="n">
        <v>0.05</v>
      </c>
      <c r="K513" s="21" t="n">
        <f aca="false">G513*H513*(1-J513)</f>
        <v>171</v>
      </c>
      <c r="L513" s="21" t="n">
        <f aca="false">G513*I513</f>
        <v>116</v>
      </c>
      <c r="M513" s="21" t="n">
        <f aca="false">K513-L513</f>
        <v>55</v>
      </c>
      <c r="N513" s="11" t="str">
        <f aca="false">TEXT(B513,"mmm")</f>
        <v>May</v>
      </c>
    </row>
    <row r="514" customFormat="false" ht="15" hidden="false" customHeight="false" outlineLevel="0" collapsed="false">
      <c r="A514" s="11" t="s">
        <v>575</v>
      </c>
      <c r="B514" s="20" t="n">
        <v>45801</v>
      </c>
      <c r="C514" s="11" t="s">
        <v>22</v>
      </c>
      <c r="D514" s="11" t="s">
        <v>33</v>
      </c>
      <c r="E514" s="11" t="s">
        <v>51</v>
      </c>
      <c r="F514" s="11" t="s">
        <v>42</v>
      </c>
      <c r="G514" s="11" t="n">
        <v>4</v>
      </c>
      <c r="H514" s="21" t="n">
        <v>90</v>
      </c>
      <c r="I514" s="21" t="n">
        <v>58</v>
      </c>
      <c r="J514" s="22" t="n">
        <v>0.1</v>
      </c>
      <c r="K514" s="21" t="n">
        <f aca="false">G514*H514*(1-J514)</f>
        <v>324</v>
      </c>
      <c r="L514" s="21" t="n">
        <f aca="false">G514*I514</f>
        <v>232</v>
      </c>
      <c r="M514" s="21" t="n">
        <f aca="false">K514-L514</f>
        <v>92</v>
      </c>
      <c r="N514" s="11" t="str">
        <f aca="false">TEXT(B514,"mmm")</f>
        <v>May</v>
      </c>
    </row>
    <row r="515" customFormat="false" ht="15" hidden="false" customHeight="false" outlineLevel="0" collapsed="false">
      <c r="A515" s="11" t="s">
        <v>576</v>
      </c>
      <c r="B515" s="20" t="n">
        <v>45802</v>
      </c>
      <c r="C515" s="11" t="s">
        <v>20</v>
      </c>
      <c r="D515" s="11" t="s">
        <v>37</v>
      </c>
      <c r="E515" s="11" t="s">
        <v>53</v>
      </c>
      <c r="F515" s="11" t="s">
        <v>45</v>
      </c>
      <c r="G515" s="11" t="n">
        <v>105</v>
      </c>
      <c r="H515" s="21" t="n">
        <v>9</v>
      </c>
      <c r="I515" s="21" t="n">
        <v>4.5</v>
      </c>
      <c r="J515" s="22" t="n">
        <v>0.2</v>
      </c>
      <c r="K515" s="21" t="n">
        <f aca="false">G515*H515*(1-J515)</f>
        <v>756</v>
      </c>
      <c r="L515" s="21" t="n">
        <f aca="false">G515*I515</f>
        <v>472.5</v>
      </c>
      <c r="M515" s="21" t="n">
        <f aca="false">K515-L515</f>
        <v>283.5</v>
      </c>
      <c r="N515" s="11" t="str">
        <f aca="false">TEXT(B515,"mmm")</f>
        <v>May</v>
      </c>
    </row>
    <row r="516" customFormat="false" ht="15" hidden="false" customHeight="false" outlineLevel="0" collapsed="false">
      <c r="A516" s="11" t="s">
        <v>577</v>
      </c>
      <c r="B516" s="20" t="n">
        <v>45802</v>
      </c>
      <c r="C516" s="11" t="s">
        <v>22</v>
      </c>
      <c r="D516" s="11" t="s">
        <v>37</v>
      </c>
      <c r="E516" s="11" t="s">
        <v>49</v>
      </c>
      <c r="F516" s="11" t="s">
        <v>44</v>
      </c>
      <c r="G516" s="11" t="n">
        <v>29</v>
      </c>
      <c r="H516" s="21" t="n">
        <v>28</v>
      </c>
      <c r="I516" s="21" t="n">
        <v>17</v>
      </c>
      <c r="J516" s="22" t="n">
        <v>0</v>
      </c>
      <c r="K516" s="21" t="n">
        <f aca="false">G516*H516*(1-J516)</f>
        <v>812</v>
      </c>
      <c r="L516" s="21" t="n">
        <f aca="false">G516*I516</f>
        <v>493</v>
      </c>
      <c r="M516" s="21" t="n">
        <f aca="false">K516-L516</f>
        <v>319</v>
      </c>
      <c r="N516" s="11" t="str">
        <f aca="false">TEXT(B516,"mmm")</f>
        <v>May</v>
      </c>
    </row>
    <row r="517" customFormat="false" ht="15" hidden="false" customHeight="false" outlineLevel="0" collapsed="false">
      <c r="A517" s="11" t="s">
        <v>578</v>
      </c>
      <c r="B517" s="20" t="n">
        <v>45802</v>
      </c>
      <c r="C517" s="11" t="s">
        <v>24</v>
      </c>
      <c r="D517" s="11" t="s">
        <v>33</v>
      </c>
      <c r="E517" s="11" t="s">
        <v>48</v>
      </c>
      <c r="F517" s="11" t="s">
        <v>44</v>
      </c>
      <c r="G517" s="11" t="n">
        <v>4</v>
      </c>
      <c r="H517" s="21" t="n">
        <v>520</v>
      </c>
      <c r="I517" s="21" t="n">
        <v>415</v>
      </c>
      <c r="J517" s="22" t="n">
        <v>0</v>
      </c>
      <c r="K517" s="21" t="n">
        <f aca="false">G517*H517*(1-J517)</f>
        <v>2080</v>
      </c>
      <c r="L517" s="21" t="n">
        <f aca="false">G517*I517</f>
        <v>1660</v>
      </c>
      <c r="M517" s="21" t="n">
        <f aca="false">K517-L517</f>
        <v>420</v>
      </c>
      <c r="N517" s="11" t="str">
        <f aca="false">TEXT(B517,"mmm")</f>
        <v>May</v>
      </c>
    </row>
    <row r="518" customFormat="false" ht="15" hidden="false" customHeight="false" outlineLevel="0" collapsed="false">
      <c r="A518" s="11" t="s">
        <v>579</v>
      </c>
      <c r="B518" s="20" t="n">
        <v>45803</v>
      </c>
      <c r="C518" s="11" t="s">
        <v>24</v>
      </c>
      <c r="D518" s="11" t="s">
        <v>37</v>
      </c>
      <c r="E518" s="11" t="s">
        <v>52</v>
      </c>
      <c r="F518" s="11" t="s">
        <v>42</v>
      </c>
      <c r="G518" s="11" t="n">
        <v>18</v>
      </c>
      <c r="H518" s="21" t="n">
        <v>12</v>
      </c>
      <c r="I518" s="21" t="n">
        <v>6</v>
      </c>
      <c r="J518" s="22" t="n">
        <v>0.1</v>
      </c>
      <c r="K518" s="21" t="n">
        <f aca="false">G518*H518*(1-J518)</f>
        <v>194.4</v>
      </c>
      <c r="L518" s="21" t="n">
        <f aca="false">G518*I518</f>
        <v>108</v>
      </c>
      <c r="M518" s="21" t="n">
        <f aca="false">K518-L518</f>
        <v>86.4</v>
      </c>
      <c r="N518" s="11" t="str">
        <f aca="false">TEXT(B518,"mmm")</f>
        <v>May</v>
      </c>
    </row>
    <row r="519" customFormat="false" ht="15" hidden="false" customHeight="false" outlineLevel="0" collapsed="false">
      <c r="A519" s="11" t="s">
        <v>580</v>
      </c>
      <c r="B519" s="20" t="n">
        <v>45803</v>
      </c>
      <c r="C519" s="11" t="s">
        <v>20</v>
      </c>
      <c r="D519" s="11" t="s">
        <v>37</v>
      </c>
      <c r="E519" s="11" t="s">
        <v>49</v>
      </c>
      <c r="F519" s="11" t="s">
        <v>42</v>
      </c>
      <c r="G519" s="11" t="n">
        <v>38</v>
      </c>
      <c r="H519" s="21" t="n">
        <v>28</v>
      </c>
      <c r="I519" s="21" t="n">
        <v>17</v>
      </c>
      <c r="J519" s="22" t="n">
        <v>0.15</v>
      </c>
      <c r="K519" s="21" t="n">
        <f aca="false">G519*H519*(1-J519)</f>
        <v>904.4</v>
      </c>
      <c r="L519" s="21" t="n">
        <f aca="false">G519*I519</f>
        <v>646</v>
      </c>
      <c r="M519" s="21" t="n">
        <f aca="false">K519-L519</f>
        <v>258.4</v>
      </c>
      <c r="N519" s="11" t="str">
        <f aca="false">TEXT(B519,"mmm")</f>
        <v>May</v>
      </c>
    </row>
    <row r="520" customFormat="false" ht="15" hidden="false" customHeight="false" outlineLevel="0" collapsed="false">
      <c r="A520" s="11" t="s">
        <v>581</v>
      </c>
      <c r="B520" s="20" t="n">
        <v>45803</v>
      </c>
      <c r="C520" s="11" t="s">
        <v>24</v>
      </c>
      <c r="D520" s="11" t="s">
        <v>37</v>
      </c>
      <c r="E520" s="11" t="s">
        <v>49</v>
      </c>
      <c r="F520" s="11" t="s">
        <v>42</v>
      </c>
      <c r="G520" s="11" t="n">
        <v>30</v>
      </c>
      <c r="H520" s="21" t="n">
        <v>28</v>
      </c>
      <c r="I520" s="21" t="n">
        <v>17</v>
      </c>
      <c r="J520" s="22" t="n">
        <v>0.15</v>
      </c>
      <c r="K520" s="21" t="n">
        <f aca="false">G520*H520*(1-J520)</f>
        <v>714</v>
      </c>
      <c r="L520" s="21" t="n">
        <f aca="false">G520*I520</f>
        <v>510</v>
      </c>
      <c r="M520" s="21" t="n">
        <f aca="false">K520-L520</f>
        <v>204</v>
      </c>
      <c r="N520" s="11" t="str">
        <f aca="false">TEXT(B520,"mmm")</f>
        <v>May</v>
      </c>
    </row>
    <row r="521" customFormat="false" ht="15" hidden="false" customHeight="false" outlineLevel="0" collapsed="false">
      <c r="A521" s="11" t="s">
        <v>582</v>
      </c>
      <c r="B521" s="20" t="n">
        <v>45803</v>
      </c>
      <c r="C521" s="11" t="s">
        <v>24</v>
      </c>
      <c r="D521" s="11" t="s">
        <v>37</v>
      </c>
      <c r="E521" s="11" t="s">
        <v>53</v>
      </c>
      <c r="F521" s="11" t="s">
        <v>42</v>
      </c>
      <c r="G521" s="11" t="n">
        <v>28</v>
      </c>
      <c r="H521" s="21" t="n">
        <v>9</v>
      </c>
      <c r="I521" s="21" t="n">
        <v>4.5</v>
      </c>
      <c r="J521" s="22" t="n">
        <v>0.1</v>
      </c>
      <c r="K521" s="21" t="n">
        <f aca="false">G521*H521*(1-J521)</f>
        <v>226.8</v>
      </c>
      <c r="L521" s="21" t="n">
        <f aca="false">G521*I521</f>
        <v>126</v>
      </c>
      <c r="M521" s="21" t="n">
        <f aca="false">K521-L521</f>
        <v>100.8</v>
      </c>
      <c r="N521" s="11" t="str">
        <f aca="false">TEXT(B521,"mmm")</f>
        <v>May</v>
      </c>
    </row>
    <row r="522" customFormat="false" ht="15" hidden="false" customHeight="false" outlineLevel="0" collapsed="false">
      <c r="A522" s="11" t="s">
        <v>583</v>
      </c>
      <c r="B522" s="20" t="n">
        <v>45803</v>
      </c>
      <c r="C522" s="11" t="s">
        <v>22</v>
      </c>
      <c r="D522" s="11" t="s">
        <v>37</v>
      </c>
      <c r="E522" s="11" t="s">
        <v>53</v>
      </c>
      <c r="F522" s="11" t="s">
        <v>44</v>
      </c>
      <c r="G522" s="11" t="n">
        <v>19</v>
      </c>
      <c r="H522" s="21" t="n">
        <v>9</v>
      </c>
      <c r="I522" s="21" t="n">
        <v>4.5</v>
      </c>
      <c r="J522" s="22" t="n">
        <v>0.05</v>
      </c>
      <c r="K522" s="21" t="n">
        <f aca="false">G522*H522*(1-J522)</f>
        <v>162.45</v>
      </c>
      <c r="L522" s="21" t="n">
        <f aca="false">G522*I522</f>
        <v>85.5</v>
      </c>
      <c r="M522" s="21" t="n">
        <f aca="false">K522-L522</f>
        <v>76.95</v>
      </c>
      <c r="N522" s="11" t="str">
        <f aca="false">TEXT(B522,"mmm")</f>
        <v>May</v>
      </c>
    </row>
    <row r="523" customFormat="false" ht="15" hidden="false" customHeight="false" outlineLevel="0" collapsed="false">
      <c r="A523" s="11" t="s">
        <v>584</v>
      </c>
      <c r="B523" s="20" t="n">
        <v>45803</v>
      </c>
      <c r="C523" s="11" t="s">
        <v>24</v>
      </c>
      <c r="D523" s="11" t="s">
        <v>35</v>
      </c>
      <c r="E523" s="11" t="s">
        <v>55</v>
      </c>
      <c r="F523" s="11" t="s">
        <v>45</v>
      </c>
      <c r="G523" s="11" t="n">
        <v>4</v>
      </c>
      <c r="H523" s="21" t="n">
        <v>150</v>
      </c>
      <c r="I523" s="21" t="n">
        <v>82</v>
      </c>
      <c r="J523" s="22" t="n">
        <v>0.15</v>
      </c>
      <c r="K523" s="21" t="n">
        <f aca="false">G523*H523*(1-J523)</f>
        <v>510</v>
      </c>
      <c r="L523" s="21" t="n">
        <f aca="false">G523*I523</f>
        <v>328</v>
      </c>
      <c r="M523" s="21" t="n">
        <f aca="false">K523-L523</f>
        <v>182</v>
      </c>
      <c r="N523" s="11" t="str">
        <f aca="false">TEXT(B523,"mmm")</f>
        <v>May</v>
      </c>
    </row>
    <row r="524" customFormat="false" ht="15" hidden="false" customHeight="false" outlineLevel="0" collapsed="false">
      <c r="A524" s="11" t="s">
        <v>585</v>
      </c>
      <c r="B524" s="20" t="n">
        <v>45804</v>
      </c>
      <c r="C524" s="11" t="s">
        <v>18</v>
      </c>
      <c r="D524" s="11" t="s">
        <v>33</v>
      </c>
      <c r="E524" s="11" t="s">
        <v>48</v>
      </c>
      <c r="F524" s="11" t="s">
        <v>42</v>
      </c>
      <c r="G524" s="11" t="n">
        <v>4</v>
      </c>
      <c r="H524" s="21" t="n">
        <v>520</v>
      </c>
      <c r="I524" s="21" t="n">
        <v>415</v>
      </c>
      <c r="J524" s="22" t="n">
        <v>0.05</v>
      </c>
      <c r="K524" s="21" t="n">
        <f aca="false">G524*H524*(1-J524)</f>
        <v>1976</v>
      </c>
      <c r="L524" s="21" t="n">
        <f aca="false">G524*I524</f>
        <v>1660</v>
      </c>
      <c r="M524" s="21" t="n">
        <f aca="false">K524-L524</f>
        <v>316</v>
      </c>
      <c r="N524" s="11" t="str">
        <f aca="false">TEXT(B524,"mmm")</f>
        <v>May</v>
      </c>
    </row>
    <row r="525" customFormat="false" ht="15" hidden="false" customHeight="false" outlineLevel="0" collapsed="false">
      <c r="A525" s="11" t="s">
        <v>586</v>
      </c>
      <c r="B525" s="20" t="n">
        <v>45804</v>
      </c>
      <c r="C525" s="11" t="s">
        <v>18</v>
      </c>
      <c r="D525" s="11" t="s">
        <v>37</v>
      </c>
      <c r="E525" s="11" t="s">
        <v>52</v>
      </c>
      <c r="F525" s="11" t="s">
        <v>44</v>
      </c>
      <c r="G525" s="11" t="n">
        <v>6</v>
      </c>
      <c r="H525" s="21" t="n">
        <v>12</v>
      </c>
      <c r="I525" s="21" t="n">
        <v>6</v>
      </c>
      <c r="J525" s="22" t="n">
        <v>0.1</v>
      </c>
      <c r="K525" s="21" t="n">
        <f aca="false">G525*H525*(1-J525)</f>
        <v>64.8</v>
      </c>
      <c r="L525" s="21" t="n">
        <f aca="false">G525*I525</f>
        <v>36</v>
      </c>
      <c r="M525" s="21" t="n">
        <f aca="false">K525-L525</f>
        <v>28.8</v>
      </c>
      <c r="N525" s="11" t="str">
        <f aca="false">TEXT(B525,"mmm")</f>
        <v>May</v>
      </c>
    </row>
    <row r="526" customFormat="false" ht="15" hidden="false" customHeight="false" outlineLevel="0" collapsed="false">
      <c r="A526" s="11" t="s">
        <v>587</v>
      </c>
      <c r="B526" s="20" t="n">
        <v>45804</v>
      </c>
      <c r="C526" s="11" t="s">
        <v>20</v>
      </c>
      <c r="D526" s="11" t="s">
        <v>37</v>
      </c>
      <c r="E526" s="11" t="s">
        <v>53</v>
      </c>
      <c r="F526" s="11" t="s">
        <v>45</v>
      </c>
      <c r="G526" s="11" t="n">
        <v>114</v>
      </c>
      <c r="H526" s="21" t="n">
        <v>9</v>
      </c>
      <c r="I526" s="21" t="n">
        <v>4.5</v>
      </c>
      <c r="J526" s="22" t="n">
        <v>0.2</v>
      </c>
      <c r="K526" s="21" t="n">
        <f aca="false">G526*H526*(1-J526)</f>
        <v>820.8</v>
      </c>
      <c r="L526" s="21" t="n">
        <f aca="false">G526*I526</f>
        <v>513</v>
      </c>
      <c r="M526" s="21" t="n">
        <f aca="false">K526-L526</f>
        <v>307.8</v>
      </c>
      <c r="N526" s="11" t="str">
        <f aca="false">TEXT(B526,"mmm")</f>
        <v>May</v>
      </c>
    </row>
    <row r="527" customFormat="false" ht="15" hidden="false" customHeight="false" outlineLevel="0" collapsed="false">
      <c r="A527" s="11" t="s">
        <v>588</v>
      </c>
      <c r="B527" s="20" t="n">
        <v>45804</v>
      </c>
      <c r="C527" s="11" t="s">
        <v>24</v>
      </c>
      <c r="D527" s="11" t="s">
        <v>37</v>
      </c>
      <c r="E527" s="11" t="s">
        <v>52</v>
      </c>
      <c r="F527" s="11" t="s">
        <v>44</v>
      </c>
      <c r="G527" s="11" t="n">
        <v>21</v>
      </c>
      <c r="H527" s="21" t="n">
        <v>12</v>
      </c>
      <c r="I527" s="21" t="n">
        <v>6</v>
      </c>
      <c r="J527" s="22" t="n">
        <v>0</v>
      </c>
      <c r="K527" s="21" t="n">
        <f aca="false">G527*H527*(1-J527)</f>
        <v>252</v>
      </c>
      <c r="L527" s="21" t="n">
        <f aca="false">G527*I527</f>
        <v>126</v>
      </c>
      <c r="M527" s="21" t="n">
        <f aca="false">K527-L527</f>
        <v>126</v>
      </c>
      <c r="N527" s="11" t="str">
        <f aca="false">TEXT(B527,"mmm")</f>
        <v>May</v>
      </c>
    </row>
    <row r="528" customFormat="false" ht="15" hidden="false" customHeight="false" outlineLevel="0" collapsed="false">
      <c r="A528" s="11" t="s">
        <v>589</v>
      </c>
      <c r="B528" s="20" t="n">
        <v>45804</v>
      </c>
      <c r="C528" s="11" t="s">
        <v>20</v>
      </c>
      <c r="D528" s="11" t="s">
        <v>37</v>
      </c>
      <c r="E528" s="11" t="s">
        <v>52</v>
      </c>
      <c r="F528" s="11" t="s">
        <v>44</v>
      </c>
      <c r="G528" s="11" t="n">
        <v>8</v>
      </c>
      <c r="H528" s="21" t="n">
        <v>12</v>
      </c>
      <c r="I528" s="21" t="n">
        <v>6</v>
      </c>
      <c r="J528" s="22" t="n">
        <v>0.1</v>
      </c>
      <c r="K528" s="21" t="n">
        <f aca="false">G528*H528*(1-J528)</f>
        <v>86.4</v>
      </c>
      <c r="L528" s="21" t="n">
        <f aca="false">G528*I528</f>
        <v>48</v>
      </c>
      <c r="M528" s="21" t="n">
        <f aca="false">K528-L528</f>
        <v>38.4</v>
      </c>
      <c r="N528" s="11" t="str">
        <f aca="false">TEXT(B528,"mmm")</f>
        <v>May</v>
      </c>
    </row>
    <row r="529" customFormat="false" ht="15" hidden="false" customHeight="false" outlineLevel="0" collapsed="false">
      <c r="A529" s="11" t="s">
        <v>590</v>
      </c>
      <c r="B529" s="20" t="n">
        <v>45805</v>
      </c>
      <c r="C529" s="11" t="s">
        <v>18</v>
      </c>
      <c r="D529" s="11" t="s">
        <v>35</v>
      </c>
      <c r="E529" s="11" t="s">
        <v>55</v>
      </c>
      <c r="F529" s="11" t="s">
        <v>44</v>
      </c>
      <c r="G529" s="11" t="n">
        <v>4</v>
      </c>
      <c r="H529" s="21" t="n">
        <v>150</v>
      </c>
      <c r="I529" s="21" t="n">
        <v>82</v>
      </c>
      <c r="J529" s="22" t="n">
        <v>0.05</v>
      </c>
      <c r="K529" s="21" t="n">
        <f aca="false">G529*H529*(1-J529)</f>
        <v>570</v>
      </c>
      <c r="L529" s="21" t="n">
        <f aca="false">G529*I529</f>
        <v>328</v>
      </c>
      <c r="M529" s="21" t="n">
        <f aca="false">K529-L529</f>
        <v>242</v>
      </c>
      <c r="N529" s="11" t="str">
        <f aca="false">TEXT(B529,"mmm")</f>
        <v>May</v>
      </c>
    </row>
    <row r="530" customFormat="false" ht="15" hidden="false" customHeight="false" outlineLevel="0" collapsed="false">
      <c r="A530" s="11" t="s">
        <v>591</v>
      </c>
      <c r="B530" s="20" t="n">
        <v>45805</v>
      </c>
      <c r="C530" s="11" t="s">
        <v>20</v>
      </c>
      <c r="D530" s="11" t="s">
        <v>37</v>
      </c>
      <c r="E530" s="11" t="s">
        <v>53</v>
      </c>
      <c r="F530" s="11" t="s">
        <v>42</v>
      </c>
      <c r="G530" s="11" t="n">
        <v>10</v>
      </c>
      <c r="H530" s="21" t="n">
        <v>9</v>
      </c>
      <c r="I530" s="21" t="n">
        <v>4.5</v>
      </c>
      <c r="J530" s="22" t="n">
        <v>0.1</v>
      </c>
      <c r="K530" s="21" t="n">
        <f aca="false">G530*H530*(1-J530)</f>
        <v>81</v>
      </c>
      <c r="L530" s="21" t="n">
        <f aca="false">G530*I530</f>
        <v>45</v>
      </c>
      <c r="M530" s="21" t="n">
        <f aca="false">K530-L530</f>
        <v>36</v>
      </c>
      <c r="N530" s="11" t="str">
        <f aca="false">TEXT(B530,"mmm")</f>
        <v>May</v>
      </c>
    </row>
    <row r="531" customFormat="false" ht="15" hidden="false" customHeight="false" outlineLevel="0" collapsed="false">
      <c r="A531" s="11" t="s">
        <v>592</v>
      </c>
      <c r="B531" s="20" t="n">
        <v>45805</v>
      </c>
      <c r="C531" s="11" t="s">
        <v>22</v>
      </c>
      <c r="D531" s="11" t="s">
        <v>37</v>
      </c>
      <c r="E531" s="11" t="s">
        <v>53</v>
      </c>
      <c r="F531" s="11" t="s">
        <v>42</v>
      </c>
      <c r="G531" s="11" t="n">
        <v>34</v>
      </c>
      <c r="H531" s="21" t="n">
        <v>9</v>
      </c>
      <c r="I531" s="21" t="n">
        <v>4.5</v>
      </c>
      <c r="J531" s="22" t="n">
        <v>0.05</v>
      </c>
      <c r="K531" s="21" t="n">
        <f aca="false">G531*H531*(1-J531)</f>
        <v>290.7</v>
      </c>
      <c r="L531" s="21" t="n">
        <f aca="false">G531*I531</f>
        <v>153</v>
      </c>
      <c r="M531" s="21" t="n">
        <f aca="false">K531-L531</f>
        <v>137.7</v>
      </c>
      <c r="N531" s="11" t="str">
        <f aca="false">TEXT(B531,"mmm")</f>
        <v>May</v>
      </c>
    </row>
    <row r="532" customFormat="false" ht="15" hidden="false" customHeight="false" outlineLevel="0" collapsed="false">
      <c r="A532" s="11" t="s">
        <v>593</v>
      </c>
      <c r="B532" s="20" t="n">
        <v>45809</v>
      </c>
      <c r="C532" s="11" t="s">
        <v>24</v>
      </c>
      <c r="D532" s="11" t="s">
        <v>33</v>
      </c>
      <c r="E532" s="11" t="s">
        <v>48</v>
      </c>
      <c r="F532" s="11" t="s">
        <v>44</v>
      </c>
      <c r="G532" s="11" t="n">
        <v>4</v>
      </c>
      <c r="H532" s="21" t="n">
        <v>520</v>
      </c>
      <c r="I532" s="21" t="n">
        <v>415</v>
      </c>
      <c r="J532" s="22" t="n">
        <v>0.05</v>
      </c>
      <c r="K532" s="21" t="n">
        <f aca="false">G532*H532*(1-J532)</f>
        <v>1976</v>
      </c>
      <c r="L532" s="21" t="n">
        <f aca="false">G532*I532</f>
        <v>1660</v>
      </c>
      <c r="M532" s="21" t="n">
        <f aca="false">K532-L532</f>
        <v>316</v>
      </c>
      <c r="N532" s="11" t="str">
        <f aca="false">TEXT(B532,"mmm")</f>
        <v>Jun</v>
      </c>
    </row>
    <row r="533" customFormat="false" ht="15" hidden="false" customHeight="false" outlineLevel="0" collapsed="false">
      <c r="A533" s="11" t="s">
        <v>594</v>
      </c>
      <c r="B533" s="20" t="n">
        <v>45809</v>
      </c>
      <c r="C533" s="11" t="s">
        <v>18</v>
      </c>
      <c r="D533" s="11" t="s">
        <v>37</v>
      </c>
      <c r="E533" s="11" t="s">
        <v>53</v>
      </c>
      <c r="F533" s="11" t="s">
        <v>44</v>
      </c>
      <c r="G533" s="11" t="n">
        <v>34</v>
      </c>
      <c r="H533" s="21" t="n">
        <v>9</v>
      </c>
      <c r="I533" s="21" t="n">
        <v>4.5</v>
      </c>
      <c r="J533" s="22" t="n">
        <v>0.1</v>
      </c>
      <c r="K533" s="21" t="n">
        <f aca="false">G533*H533*(1-J533)</f>
        <v>275.4</v>
      </c>
      <c r="L533" s="21" t="n">
        <f aca="false">G533*I533</f>
        <v>153</v>
      </c>
      <c r="M533" s="21" t="n">
        <f aca="false">K533-L533</f>
        <v>122.4</v>
      </c>
      <c r="N533" s="11" t="str">
        <f aca="false">TEXT(B533,"mmm")</f>
        <v>Jun</v>
      </c>
    </row>
    <row r="534" customFormat="false" ht="15" hidden="false" customHeight="false" outlineLevel="0" collapsed="false">
      <c r="A534" s="11" t="s">
        <v>595</v>
      </c>
      <c r="B534" s="20" t="n">
        <v>45810</v>
      </c>
      <c r="C534" s="11" t="s">
        <v>20</v>
      </c>
      <c r="D534" s="11" t="s">
        <v>37</v>
      </c>
      <c r="E534" s="11" t="s">
        <v>52</v>
      </c>
      <c r="F534" s="11" t="s">
        <v>45</v>
      </c>
      <c r="G534" s="11" t="n">
        <v>9</v>
      </c>
      <c r="H534" s="21" t="n">
        <v>12</v>
      </c>
      <c r="I534" s="21" t="n">
        <v>6</v>
      </c>
      <c r="J534" s="22" t="n">
        <v>0.2</v>
      </c>
      <c r="K534" s="21" t="n">
        <f aca="false">G534*H534*(1-J534)</f>
        <v>86.4</v>
      </c>
      <c r="L534" s="21" t="n">
        <f aca="false">G534*I534</f>
        <v>54</v>
      </c>
      <c r="M534" s="21" t="n">
        <f aca="false">K534-L534</f>
        <v>32.4</v>
      </c>
      <c r="N534" s="11" t="str">
        <f aca="false">TEXT(B534,"mmm")</f>
        <v>Jun</v>
      </c>
    </row>
    <row r="535" customFormat="false" ht="15" hidden="false" customHeight="false" outlineLevel="0" collapsed="false">
      <c r="A535" s="11" t="s">
        <v>596</v>
      </c>
      <c r="B535" s="20" t="n">
        <v>45810</v>
      </c>
      <c r="C535" s="11" t="s">
        <v>20</v>
      </c>
      <c r="D535" s="11" t="s">
        <v>37</v>
      </c>
      <c r="E535" s="11" t="s">
        <v>53</v>
      </c>
      <c r="F535" s="11" t="s">
        <v>44</v>
      </c>
      <c r="G535" s="11" t="n">
        <v>21</v>
      </c>
      <c r="H535" s="21" t="n">
        <v>9</v>
      </c>
      <c r="I535" s="21" t="n">
        <v>4.5</v>
      </c>
      <c r="J535" s="22" t="n">
        <v>0.05</v>
      </c>
      <c r="K535" s="21" t="n">
        <f aca="false">G535*H535*(1-J535)</f>
        <v>179.55</v>
      </c>
      <c r="L535" s="21" t="n">
        <f aca="false">G535*I535</f>
        <v>94.5</v>
      </c>
      <c r="M535" s="21" t="n">
        <f aca="false">K535-L535</f>
        <v>85.05</v>
      </c>
      <c r="N535" s="11" t="str">
        <f aca="false">TEXT(B535,"mmm")</f>
        <v>Jun</v>
      </c>
    </row>
    <row r="536" customFormat="false" ht="15" hidden="false" customHeight="false" outlineLevel="0" collapsed="false">
      <c r="A536" s="11" t="s">
        <v>597</v>
      </c>
      <c r="B536" s="20" t="n">
        <v>45810</v>
      </c>
      <c r="C536" s="11" t="s">
        <v>22</v>
      </c>
      <c r="D536" s="11" t="s">
        <v>37</v>
      </c>
      <c r="E536" s="11" t="s">
        <v>53</v>
      </c>
      <c r="F536" s="11" t="s">
        <v>42</v>
      </c>
      <c r="G536" s="11" t="n">
        <v>31</v>
      </c>
      <c r="H536" s="21" t="n">
        <v>9</v>
      </c>
      <c r="I536" s="21" t="n">
        <v>4.5</v>
      </c>
      <c r="J536" s="22" t="n">
        <v>0.1</v>
      </c>
      <c r="K536" s="21" t="n">
        <f aca="false">G536*H536*(1-J536)</f>
        <v>251.1</v>
      </c>
      <c r="L536" s="21" t="n">
        <f aca="false">G536*I536</f>
        <v>139.5</v>
      </c>
      <c r="M536" s="21" t="n">
        <f aca="false">K536-L536</f>
        <v>111.6</v>
      </c>
      <c r="N536" s="11" t="str">
        <f aca="false">TEXT(B536,"mmm")</f>
        <v>Jun</v>
      </c>
    </row>
    <row r="537" customFormat="false" ht="15" hidden="false" customHeight="false" outlineLevel="0" collapsed="false">
      <c r="A537" s="11" t="s">
        <v>598</v>
      </c>
      <c r="B537" s="20" t="n">
        <v>45810</v>
      </c>
      <c r="C537" s="11" t="s">
        <v>18</v>
      </c>
      <c r="D537" s="11" t="s">
        <v>35</v>
      </c>
      <c r="E537" s="11" t="s">
        <v>56</v>
      </c>
      <c r="F537" s="11" t="s">
        <v>42</v>
      </c>
      <c r="G537" s="11" t="n">
        <v>1</v>
      </c>
      <c r="H537" s="21" t="n">
        <v>110</v>
      </c>
      <c r="I537" s="21" t="n">
        <v>62</v>
      </c>
      <c r="J537" s="22" t="n">
        <v>0.05</v>
      </c>
      <c r="K537" s="21" t="n">
        <f aca="false">G537*H537*(1-J537)</f>
        <v>104.5</v>
      </c>
      <c r="L537" s="21" t="n">
        <f aca="false">G537*I537</f>
        <v>62</v>
      </c>
      <c r="M537" s="21" t="n">
        <f aca="false">K537-L537</f>
        <v>42.5</v>
      </c>
      <c r="N537" s="11" t="str">
        <f aca="false">TEXT(B537,"mmm")</f>
        <v>Jun</v>
      </c>
    </row>
    <row r="538" customFormat="false" ht="15" hidden="false" customHeight="false" outlineLevel="0" collapsed="false">
      <c r="A538" s="11" t="s">
        <v>599</v>
      </c>
      <c r="B538" s="20" t="n">
        <v>45810</v>
      </c>
      <c r="C538" s="11" t="s">
        <v>20</v>
      </c>
      <c r="D538" s="11" t="s">
        <v>37</v>
      </c>
      <c r="E538" s="11" t="s">
        <v>52</v>
      </c>
      <c r="F538" s="11" t="s">
        <v>45</v>
      </c>
      <c r="G538" s="11" t="n">
        <v>30</v>
      </c>
      <c r="H538" s="21" t="n">
        <v>12</v>
      </c>
      <c r="I538" s="21" t="n">
        <v>6</v>
      </c>
      <c r="J538" s="22" t="n">
        <v>0.2</v>
      </c>
      <c r="K538" s="21" t="n">
        <f aca="false">G538*H538*(1-J538)</f>
        <v>288</v>
      </c>
      <c r="L538" s="21" t="n">
        <f aca="false">G538*I538</f>
        <v>180</v>
      </c>
      <c r="M538" s="21" t="n">
        <f aca="false">K538-L538</f>
        <v>108</v>
      </c>
      <c r="N538" s="11" t="str">
        <f aca="false">TEXT(B538,"mmm")</f>
        <v>Jun</v>
      </c>
    </row>
    <row r="539" customFormat="false" ht="15" hidden="false" customHeight="false" outlineLevel="0" collapsed="false">
      <c r="A539" s="11" t="s">
        <v>600</v>
      </c>
      <c r="B539" s="20" t="n">
        <v>45810</v>
      </c>
      <c r="C539" s="11" t="s">
        <v>20</v>
      </c>
      <c r="D539" s="11" t="s">
        <v>33</v>
      </c>
      <c r="E539" s="11" t="s">
        <v>51</v>
      </c>
      <c r="F539" s="11" t="s">
        <v>44</v>
      </c>
      <c r="G539" s="11" t="n">
        <v>3</v>
      </c>
      <c r="H539" s="21" t="n">
        <v>90</v>
      </c>
      <c r="I539" s="21" t="n">
        <v>58</v>
      </c>
      <c r="J539" s="22" t="n">
        <v>0</v>
      </c>
      <c r="K539" s="21" t="n">
        <f aca="false">G539*H539*(1-J539)</f>
        <v>270</v>
      </c>
      <c r="L539" s="21" t="n">
        <f aca="false">G539*I539</f>
        <v>174</v>
      </c>
      <c r="M539" s="21" t="n">
        <f aca="false">K539-L539</f>
        <v>96</v>
      </c>
      <c r="N539" s="11" t="str">
        <f aca="false">TEXT(B539,"mmm")</f>
        <v>Jun</v>
      </c>
    </row>
    <row r="540" customFormat="false" ht="15" hidden="false" customHeight="false" outlineLevel="0" collapsed="false">
      <c r="A540" s="11" t="s">
        <v>601</v>
      </c>
      <c r="B540" s="20" t="n">
        <v>45811</v>
      </c>
      <c r="C540" s="11" t="s">
        <v>18</v>
      </c>
      <c r="D540" s="11" t="s">
        <v>37</v>
      </c>
      <c r="E540" s="11" t="s">
        <v>53</v>
      </c>
      <c r="F540" s="11" t="s">
        <v>45</v>
      </c>
      <c r="G540" s="11" t="n">
        <v>63</v>
      </c>
      <c r="H540" s="21" t="n">
        <v>9</v>
      </c>
      <c r="I540" s="21" t="n">
        <v>4.5</v>
      </c>
      <c r="J540" s="22" t="n">
        <v>0.1</v>
      </c>
      <c r="K540" s="21" t="n">
        <f aca="false">G540*H540*(1-J540)</f>
        <v>510.3</v>
      </c>
      <c r="L540" s="21" t="n">
        <f aca="false">G540*I540</f>
        <v>283.5</v>
      </c>
      <c r="M540" s="21" t="n">
        <f aca="false">K540-L540</f>
        <v>226.8</v>
      </c>
      <c r="N540" s="11" t="str">
        <f aca="false">TEXT(B540,"mmm")</f>
        <v>Jun</v>
      </c>
    </row>
    <row r="541" customFormat="false" ht="15" hidden="false" customHeight="false" outlineLevel="0" collapsed="false">
      <c r="A541" s="11" t="s">
        <v>602</v>
      </c>
      <c r="B541" s="20" t="n">
        <v>45811</v>
      </c>
      <c r="C541" s="11" t="s">
        <v>18</v>
      </c>
      <c r="D541" s="11" t="s">
        <v>33</v>
      </c>
      <c r="E541" s="11" t="s">
        <v>48</v>
      </c>
      <c r="F541" s="11" t="s">
        <v>45</v>
      </c>
      <c r="G541" s="11" t="n">
        <v>3</v>
      </c>
      <c r="H541" s="21" t="n">
        <v>520</v>
      </c>
      <c r="I541" s="21" t="n">
        <v>415</v>
      </c>
      <c r="J541" s="22" t="n">
        <v>0.15</v>
      </c>
      <c r="K541" s="21" t="n">
        <f aca="false">G541*H541*(1-J541)</f>
        <v>1326</v>
      </c>
      <c r="L541" s="21" t="n">
        <f aca="false">G541*I541</f>
        <v>1245</v>
      </c>
      <c r="M541" s="21" t="n">
        <f aca="false">K541-L541</f>
        <v>81</v>
      </c>
      <c r="N541" s="11" t="str">
        <f aca="false">TEXT(B541,"mmm")</f>
        <v>Jun</v>
      </c>
    </row>
    <row r="542" customFormat="false" ht="15" hidden="false" customHeight="false" outlineLevel="0" collapsed="false">
      <c r="A542" s="11" t="s">
        <v>603</v>
      </c>
      <c r="B542" s="20" t="n">
        <v>45812</v>
      </c>
      <c r="C542" s="11" t="s">
        <v>22</v>
      </c>
      <c r="D542" s="11" t="s">
        <v>33</v>
      </c>
      <c r="E542" s="11" t="s">
        <v>48</v>
      </c>
      <c r="F542" s="11" t="s">
        <v>44</v>
      </c>
      <c r="G542" s="11" t="n">
        <v>2</v>
      </c>
      <c r="H542" s="21" t="n">
        <v>520</v>
      </c>
      <c r="I542" s="21" t="n">
        <v>415</v>
      </c>
      <c r="J542" s="22" t="n">
        <v>0.05</v>
      </c>
      <c r="K542" s="21" t="n">
        <f aca="false">G542*H542*(1-J542)</f>
        <v>988</v>
      </c>
      <c r="L542" s="21" t="n">
        <f aca="false">G542*I542</f>
        <v>830</v>
      </c>
      <c r="M542" s="21" t="n">
        <f aca="false">K542-L542</f>
        <v>158</v>
      </c>
      <c r="N542" s="11" t="str">
        <f aca="false">TEXT(B542,"mmm")</f>
        <v>Jun</v>
      </c>
    </row>
    <row r="543" customFormat="false" ht="15" hidden="false" customHeight="false" outlineLevel="0" collapsed="false">
      <c r="A543" s="11" t="s">
        <v>604</v>
      </c>
      <c r="B543" s="20" t="n">
        <v>45812</v>
      </c>
      <c r="C543" s="11" t="s">
        <v>18</v>
      </c>
      <c r="D543" s="11" t="s">
        <v>35</v>
      </c>
      <c r="E543" s="11" t="s">
        <v>55</v>
      </c>
      <c r="F543" s="11" t="s">
        <v>42</v>
      </c>
      <c r="G543" s="11" t="n">
        <v>2</v>
      </c>
      <c r="H543" s="21" t="n">
        <v>150</v>
      </c>
      <c r="I543" s="21" t="n">
        <v>82</v>
      </c>
      <c r="J543" s="22" t="n">
        <v>0</v>
      </c>
      <c r="K543" s="21" t="n">
        <f aca="false">G543*H543*(1-J543)</f>
        <v>300</v>
      </c>
      <c r="L543" s="21" t="n">
        <f aca="false">G543*I543</f>
        <v>164</v>
      </c>
      <c r="M543" s="21" t="n">
        <f aca="false">K543-L543</f>
        <v>136</v>
      </c>
      <c r="N543" s="11" t="str">
        <f aca="false">TEXT(B543,"mmm")</f>
        <v>Jun</v>
      </c>
    </row>
    <row r="544" customFormat="false" ht="15" hidden="false" customHeight="false" outlineLevel="0" collapsed="false">
      <c r="A544" s="11" t="s">
        <v>605</v>
      </c>
      <c r="B544" s="20" t="n">
        <v>45812</v>
      </c>
      <c r="C544" s="11" t="s">
        <v>18</v>
      </c>
      <c r="D544" s="11" t="s">
        <v>33</v>
      </c>
      <c r="E544" s="11" t="s">
        <v>48</v>
      </c>
      <c r="F544" s="11" t="s">
        <v>42</v>
      </c>
      <c r="G544" s="11" t="n">
        <v>4</v>
      </c>
      <c r="H544" s="21" t="n">
        <v>520</v>
      </c>
      <c r="I544" s="21" t="n">
        <v>415</v>
      </c>
      <c r="J544" s="22" t="n">
        <v>0</v>
      </c>
      <c r="K544" s="21" t="n">
        <f aca="false">G544*H544*(1-J544)</f>
        <v>2080</v>
      </c>
      <c r="L544" s="21" t="n">
        <f aca="false">G544*I544</f>
        <v>1660</v>
      </c>
      <c r="M544" s="21" t="n">
        <f aca="false">K544-L544</f>
        <v>420</v>
      </c>
      <c r="N544" s="11" t="str">
        <f aca="false">TEXT(B544,"mmm")</f>
        <v>Jun</v>
      </c>
    </row>
    <row r="545" customFormat="false" ht="15" hidden="false" customHeight="false" outlineLevel="0" collapsed="false">
      <c r="A545" s="11" t="s">
        <v>606</v>
      </c>
      <c r="B545" s="20" t="n">
        <v>45812</v>
      </c>
      <c r="C545" s="11" t="s">
        <v>20</v>
      </c>
      <c r="D545" s="11" t="s">
        <v>35</v>
      </c>
      <c r="E545" s="11" t="s">
        <v>55</v>
      </c>
      <c r="F545" s="11" t="s">
        <v>44</v>
      </c>
      <c r="G545" s="11" t="n">
        <v>1</v>
      </c>
      <c r="H545" s="21" t="n">
        <v>150</v>
      </c>
      <c r="I545" s="21" t="n">
        <v>82</v>
      </c>
      <c r="J545" s="22" t="n">
        <v>0.1</v>
      </c>
      <c r="K545" s="21" t="n">
        <f aca="false">G545*H545*(1-J545)</f>
        <v>135</v>
      </c>
      <c r="L545" s="21" t="n">
        <f aca="false">G545*I545</f>
        <v>82</v>
      </c>
      <c r="M545" s="21" t="n">
        <f aca="false">K545-L545</f>
        <v>53</v>
      </c>
      <c r="N545" s="11" t="str">
        <f aca="false">TEXT(B545,"mmm")</f>
        <v>Jun</v>
      </c>
    </row>
    <row r="546" customFormat="false" ht="15" hidden="false" customHeight="false" outlineLevel="0" collapsed="false">
      <c r="A546" s="11" t="s">
        <v>607</v>
      </c>
      <c r="B546" s="20" t="n">
        <v>45812</v>
      </c>
      <c r="C546" s="11" t="s">
        <v>18</v>
      </c>
      <c r="D546" s="11" t="s">
        <v>37</v>
      </c>
      <c r="E546" s="11" t="s">
        <v>49</v>
      </c>
      <c r="F546" s="11" t="s">
        <v>45</v>
      </c>
      <c r="G546" s="11" t="n">
        <v>6</v>
      </c>
      <c r="H546" s="21" t="n">
        <v>28</v>
      </c>
      <c r="I546" s="21" t="n">
        <v>17</v>
      </c>
      <c r="J546" s="22" t="n">
        <v>0.2</v>
      </c>
      <c r="K546" s="21" t="n">
        <f aca="false">G546*H546*(1-J546)</f>
        <v>134.4</v>
      </c>
      <c r="L546" s="21" t="n">
        <f aca="false">G546*I546</f>
        <v>102</v>
      </c>
      <c r="M546" s="21" t="n">
        <f aca="false">K546-L546</f>
        <v>32.4</v>
      </c>
      <c r="N546" s="11" t="str">
        <f aca="false">TEXT(B546,"mmm")</f>
        <v>Jun</v>
      </c>
    </row>
    <row r="547" customFormat="false" ht="15" hidden="false" customHeight="false" outlineLevel="0" collapsed="false">
      <c r="A547" s="11" t="s">
        <v>608</v>
      </c>
      <c r="B547" s="20" t="n">
        <v>45812</v>
      </c>
      <c r="C547" s="11" t="s">
        <v>22</v>
      </c>
      <c r="D547" s="11" t="s">
        <v>33</v>
      </c>
      <c r="E547" s="11" t="s">
        <v>48</v>
      </c>
      <c r="F547" s="11" t="s">
        <v>42</v>
      </c>
      <c r="G547" s="11" t="n">
        <v>3</v>
      </c>
      <c r="H547" s="21" t="n">
        <v>520</v>
      </c>
      <c r="I547" s="21" t="n">
        <v>415</v>
      </c>
      <c r="J547" s="22" t="n">
        <v>0</v>
      </c>
      <c r="K547" s="21" t="n">
        <f aca="false">G547*H547*(1-J547)</f>
        <v>1560</v>
      </c>
      <c r="L547" s="21" t="n">
        <f aca="false">G547*I547</f>
        <v>1245</v>
      </c>
      <c r="M547" s="21" t="n">
        <f aca="false">K547-L547</f>
        <v>315</v>
      </c>
      <c r="N547" s="11" t="str">
        <f aca="false">TEXT(B547,"mmm")</f>
        <v>Jun</v>
      </c>
    </row>
    <row r="548" customFormat="false" ht="15" hidden="false" customHeight="false" outlineLevel="0" collapsed="false">
      <c r="A548" s="11" t="s">
        <v>609</v>
      </c>
      <c r="B548" s="20" t="n">
        <v>45812</v>
      </c>
      <c r="C548" s="11" t="s">
        <v>22</v>
      </c>
      <c r="D548" s="11" t="s">
        <v>35</v>
      </c>
      <c r="E548" s="11" t="s">
        <v>55</v>
      </c>
      <c r="F548" s="11" t="s">
        <v>44</v>
      </c>
      <c r="G548" s="11" t="n">
        <v>1</v>
      </c>
      <c r="H548" s="21" t="n">
        <v>150</v>
      </c>
      <c r="I548" s="21" t="n">
        <v>82</v>
      </c>
      <c r="J548" s="22" t="n">
        <v>0.1</v>
      </c>
      <c r="K548" s="21" t="n">
        <f aca="false">G548*H548*(1-J548)</f>
        <v>135</v>
      </c>
      <c r="L548" s="21" t="n">
        <f aca="false">G548*I548</f>
        <v>82</v>
      </c>
      <c r="M548" s="21" t="n">
        <f aca="false">K548-L548</f>
        <v>53</v>
      </c>
      <c r="N548" s="11" t="str">
        <f aca="false">TEXT(B548,"mmm")</f>
        <v>Jun</v>
      </c>
    </row>
    <row r="549" customFormat="false" ht="15" hidden="false" customHeight="false" outlineLevel="0" collapsed="false">
      <c r="A549" s="11" t="s">
        <v>610</v>
      </c>
      <c r="B549" s="20" t="n">
        <v>45813</v>
      </c>
      <c r="C549" s="11" t="s">
        <v>20</v>
      </c>
      <c r="D549" s="11" t="s">
        <v>33</v>
      </c>
      <c r="E549" s="11" t="s">
        <v>48</v>
      </c>
      <c r="F549" s="11" t="s">
        <v>42</v>
      </c>
      <c r="G549" s="11" t="n">
        <v>1</v>
      </c>
      <c r="H549" s="21" t="n">
        <v>520</v>
      </c>
      <c r="I549" s="21" t="n">
        <v>415</v>
      </c>
      <c r="J549" s="22" t="n">
        <v>0</v>
      </c>
      <c r="K549" s="21" t="n">
        <f aca="false">G549*H549*(1-J549)</f>
        <v>520</v>
      </c>
      <c r="L549" s="21" t="n">
        <f aca="false">G549*I549</f>
        <v>415</v>
      </c>
      <c r="M549" s="21" t="n">
        <f aca="false">K549-L549</f>
        <v>105</v>
      </c>
      <c r="N549" s="11" t="str">
        <f aca="false">TEXT(B549,"mmm")</f>
        <v>Jun</v>
      </c>
    </row>
    <row r="550" customFormat="false" ht="15" hidden="false" customHeight="false" outlineLevel="0" collapsed="false">
      <c r="A550" s="11" t="s">
        <v>611</v>
      </c>
      <c r="B550" s="20" t="n">
        <v>45813</v>
      </c>
      <c r="C550" s="11" t="s">
        <v>18</v>
      </c>
      <c r="D550" s="11" t="s">
        <v>37</v>
      </c>
      <c r="E550" s="11" t="s">
        <v>52</v>
      </c>
      <c r="F550" s="11" t="s">
        <v>42</v>
      </c>
      <c r="G550" s="11" t="n">
        <v>36</v>
      </c>
      <c r="H550" s="21" t="n">
        <v>12</v>
      </c>
      <c r="I550" s="21" t="n">
        <v>6</v>
      </c>
      <c r="J550" s="22" t="n">
        <v>0</v>
      </c>
      <c r="K550" s="21" t="n">
        <f aca="false">G550*H550*(1-J550)</f>
        <v>432</v>
      </c>
      <c r="L550" s="21" t="n">
        <f aca="false">G550*I550</f>
        <v>216</v>
      </c>
      <c r="M550" s="21" t="n">
        <f aca="false">K550-L550</f>
        <v>216</v>
      </c>
      <c r="N550" s="11" t="str">
        <f aca="false">TEXT(B550,"mmm")</f>
        <v>Jun</v>
      </c>
    </row>
    <row r="551" customFormat="false" ht="15" hidden="false" customHeight="false" outlineLevel="0" collapsed="false">
      <c r="A551" s="11" t="s">
        <v>612</v>
      </c>
      <c r="B551" s="20" t="n">
        <v>45813</v>
      </c>
      <c r="C551" s="11" t="s">
        <v>22</v>
      </c>
      <c r="D551" s="11" t="s">
        <v>35</v>
      </c>
      <c r="E551" s="11" t="s">
        <v>55</v>
      </c>
      <c r="F551" s="11" t="s">
        <v>42</v>
      </c>
      <c r="G551" s="11" t="n">
        <v>1</v>
      </c>
      <c r="H551" s="21" t="n">
        <v>150</v>
      </c>
      <c r="I551" s="21" t="n">
        <v>82</v>
      </c>
      <c r="J551" s="22" t="n">
        <v>0</v>
      </c>
      <c r="K551" s="21" t="n">
        <f aca="false">G551*H551*(1-J551)</f>
        <v>150</v>
      </c>
      <c r="L551" s="21" t="n">
        <f aca="false">G551*I551</f>
        <v>82</v>
      </c>
      <c r="M551" s="21" t="n">
        <f aca="false">K551-L551</f>
        <v>68</v>
      </c>
      <c r="N551" s="11" t="str">
        <f aca="false">TEXT(B551,"mmm")</f>
        <v>Jun</v>
      </c>
    </row>
    <row r="552" customFormat="false" ht="15" hidden="false" customHeight="false" outlineLevel="0" collapsed="false">
      <c r="A552" s="11" t="s">
        <v>613</v>
      </c>
      <c r="B552" s="20" t="n">
        <v>45813</v>
      </c>
      <c r="C552" s="11" t="s">
        <v>18</v>
      </c>
      <c r="D552" s="11" t="s">
        <v>33</v>
      </c>
      <c r="E552" s="11" t="s">
        <v>51</v>
      </c>
      <c r="F552" s="11" t="s">
        <v>45</v>
      </c>
      <c r="G552" s="11" t="n">
        <v>12</v>
      </c>
      <c r="H552" s="21" t="n">
        <v>90</v>
      </c>
      <c r="I552" s="21" t="n">
        <v>58</v>
      </c>
      <c r="J552" s="22" t="n">
        <v>0.2</v>
      </c>
      <c r="K552" s="21" t="n">
        <f aca="false">G552*H552*(1-J552)</f>
        <v>864</v>
      </c>
      <c r="L552" s="21" t="n">
        <f aca="false">G552*I552</f>
        <v>696</v>
      </c>
      <c r="M552" s="21" t="n">
        <f aca="false">K552-L552</f>
        <v>168</v>
      </c>
      <c r="N552" s="11" t="str">
        <f aca="false">TEXT(B552,"mmm")</f>
        <v>Jun</v>
      </c>
    </row>
    <row r="553" customFormat="false" ht="15" hidden="false" customHeight="false" outlineLevel="0" collapsed="false">
      <c r="A553" s="11" t="s">
        <v>614</v>
      </c>
      <c r="B553" s="20" t="n">
        <v>45814</v>
      </c>
      <c r="C553" s="11" t="s">
        <v>18</v>
      </c>
      <c r="D553" s="11" t="s">
        <v>37</v>
      </c>
      <c r="E553" s="11" t="s">
        <v>49</v>
      </c>
      <c r="F553" s="11" t="s">
        <v>42</v>
      </c>
      <c r="G553" s="11" t="n">
        <v>39</v>
      </c>
      <c r="H553" s="21" t="n">
        <v>28</v>
      </c>
      <c r="I553" s="21" t="n">
        <v>17</v>
      </c>
      <c r="J553" s="22" t="n">
        <v>0.05</v>
      </c>
      <c r="K553" s="21" t="n">
        <f aca="false">G553*H553*(1-J553)</f>
        <v>1037.4</v>
      </c>
      <c r="L553" s="21" t="n">
        <f aca="false">G553*I553</f>
        <v>663</v>
      </c>
      <c r="M553" s="21" t="n">
        <f aca="false">K553-L553</f>
        <v>374.4</v>
      </c>
      <c r="N553" s="11" t="str">
        <f aca="false">TEXT(B553,"mmm")</f>
        <v>Jun</v>
      </c>
    </row>
    <row r="554" customFormat="false" ht="15" hidden="false" customHeight="false" outlineLevel="0" collapsed="false">
      <c r="A554" s="11" t="s">
        <v>615</v>
      </c>
      <c r="B554" s="20" t="n">
        <v>45814</v>
      </c>
      <c r="C554" s="11" t="s">
        <v>22</v>
      </c>
      <c r="D554" s="11" t="s">
        <v>37</v>
      </c>
      <c r="E554" s="11" t="s">
        <v>49</v>
      </c>
      <c r="F554" s="11" t="s">
        <v>44</v>
      </c>
      <c r="G554" s="11" t="n">
        <v>14</v>
      </c>
      <c r="H554" s="21" t="n">
        <v>28</v>
      </c>
      <c r="I554" s="21" t="n">
        <v>17</v>
      </c>
      <c r="J554" s="22" t="n">
        <v>0</v>
      </c>
      <c r="K554" s="21" t="n">
        <f aca="false">G554*H554*(1-J554)</f>
        <v>392</v>
      </c>
      <c r="L554" s="21" t="n">
        <f aca="false">G554*I554</f>
        <v>238</v>
      </c>
      <c r="M554" s="21" t="n">
        <f aca="false">K554-L554</f>
        <v>154</v>
      </c>
      <c r="N554" s="11" t="str">
        <f aca="false">TEXT(B554,"mmm")</f>
        <v>Jun</v>
      </c>
    </row>
    <row r="555" customFormat="false" ht="15" hidden="false" customHeight="false" outlineLevel="0" collapsed="false">
      <c r="A555" s="11" t="s">
        <v>616</v>
      </c>
      <c r="B555" s="20" t="n">
        <v>45814</v>
      </c>
      <c r="C555" s="11" t="s">
        <v>18</v>
      </c>
      <c r="D555" s="11" t="s">
        <v>37</v>
      </c>
      <c r="E555" s="11" t="s">
        <v>52</v>
      </c>
      <c r="F555" s="11" t="s">
        <v>42</v>
      </c>
      <c r="G555" s="11" t="n">
        <v>9</v>
      </c>
      <c r="H555" s="21" t="n">
        <v>12</v>
      </c>
      <c r="I555" s="21" t="n">
        <v>6</v>
      </c>
      <c r="J555" s="22" t="n">
        <v>0.15</v>
      </c>
      <c r="K555" s="21" t="n">
        <f aca="false">G555*H555*(1-J555)</f>
        <v>91.8</v>
      </c>
      <c r="L555" s="21" t="n">
        <f aca="false">G555*I555</f>
        <v>54</v>
      </c>
      <c r="M555" s="21" t="n">
        <f aca="false">K555-L555</f>
        <v>37.8</v>
      </c>
      <c r="N555" s="11" t="str">
        <f aca="false">TEXT(B555,"mmm")</f>
        <v>Jun</v>
      </c>
    </row>
    <row r="556" customFormat="false" ht="15" hidden="false" customHeight="false" outlineLevel="0" collapsed="false">
      <c r="A556" s="11" t="s">
        <v>617</v>
      </c>
      <c r="B556" s="20" t="n">
        <v>45814</v>
      </c>
      <c r="C556" s="11" t="s">
        <v>24</v>
      </c>
      <c r="D556" s="11" t="s">
        <v>37</v>
      </c>
      <c r="E556" s="11" t="s">
        <v>53</v>
      </c>
      <c r="F556" s="11" t="s">
        <v>45</v>
      </c>
      <c r="G556" s="11" t="n">
        <v>24</v>
      </c>
      <c r="H556" s="21" t="n">
        <v>9</v>
      </c>
      <c r="I556" s="21" t="n">
        <v>4.5</v>
      </c>
      <c r="J556" s="22" t="n">
        <v>0.15</v>
      </c>
      <c r="K556" s="21" t="n">
        <f aca="false">G556*H556*(1-J556)</f>
        <v>183.6</v>
      </c>
      <c r="L556" s="21" t="n">
        <f aca="false">G556*I556</f>
        <v>108</v>
      </c>
      <c r="M556" s="21" t="n">
        <f aca="false">K556-L556</f>
        <v>75.6</v>
      </c>
      <c r="N556" s="11" t="str">
        <f aca="false">TEXT(B556,"mmm")</f>
        <v>Jun</v>
      </c>
    </row>
    <row r="557" customFormat="false" ht="15" hidden="false" customHeight="false" outlineLevel="0" collapsed="false">
      <c r="A557" s="11" t="s">
        <v>618</v>
      </c>
      <c r="B557" s="20" t="n">
        <v>45815</v>
      </c>
      <c r="C557" s="11" t="s">
        <v>22</v>
      </c>
      <c r="D557" s="11" t="s">
        <v>35</v>
      </c>
      <c r="E557" s="11" t="s">
        <v>54</v>
      </c>
      <c r="F557" s="11" t="s">
        <v>42</v>
      </c>
      <c r="G557" s="11" t="n">
        <v>2</v>
      </c>
      <c r="H557" s="21" t="n">
        <v>320</v>
      </c>
      <c r="I557" s="21" t="n">
        <v>185</v>
      </c>
      <c r="J557" s="22" t="n">
        <v>0.1</v>
      </c>
      <c r="K557" s="21" t="n">
        <f aca="false">G557*H557*(1-J557)</f>
        <v>576</v>
      </c>
      <c r="L557" s="21" t="n">
        <f aca="false">G557*I557</f>
        <v>370</v>
      </c>
      <c r="M557" s="21" t="n">
        <f aca="false">K557-L557</f>
        <v>206</v>
      </c>
      <c r="N557" s="11" t="str">
        <f aca="false">TEXT(B557,"mmm")</f>
        <v>Jun</v>
      </c>
    </row>
    <row r="558" customFormat="false" ht="15" hidden="false" customHeight="false" outlineLevel="0" collapsed="false">
      <c r="A558" s="11" t="s">
        <v>619</v>
      </c>
      <c r="B558" s="20" t="n">
        <v>45815</v>
      </c>
      <c r="C558" s="11" t="s">
        <v>22</v>
      </c>
      <c r="D558" s="11" t="s">
        <v>37</v>
      </c>
      <c r="E558" s="11" t="s">
        <v>52</v>
      </c>
      <c r="F558" s="11" t="s">
        <v>44</v>
      </c>
      <c r="G558" s="11" t="n">
        <v>17</v>
      </c>
      <c r="H558" s="21" t="n">
        <v>12</v>
      </c>
      <c r="I558" s="21" t="n">
        <v>6</v>
      </c>
      <c r="J558" s="22" t="n">
        <v>0</v>
      </c>
      <c r="K558" s="21" t="n">
        <f aca="false">G558*H558*(1-J558)</f>
        <v>204</v>
      </c>
      <c r="L558" s="21" t="n">
        <f aca="false">G558*I558</f>
        <v>102</v>
      </c>
      <c r="M558" s="21" t="n">
        <f aca="false">K558-L558</f>
        <v>102</v>
      </c>
      <c r="N558" s="11" t="str">
        <f aca="false">TEXT(B558,"mmm")</f>
        <v>Jun</v>
      </c>
    </row>
    <row r="559" customFormat="false" ht="15" hidden="false" customHeight="false" outlineLevel="0" collapsed="false">
      <c r="A559" s="11" t="s">
        <v>620</v>
      </c>
      <c r="B559" s="20" t="n">
        <v>45815</v>
      </c>
      <c r="C559" s="11" t="s">
        <v>24</v>
      </c>
      <c r="D559" s="11" t="s">
        <v>33</v>
      </c>
      <c r="E559" s="11" t="s">
        <v>51</v>
      </c>
      <c r="F559" s="11" t="s">
        <v>44</v>
      </c>
      <c r="G559" s="11" t="n">
        <v>1</v>
      </c>
      <c r="H559" s="21" t="n">
        <v>90</v>
      </c>
      <c r="I559" s="21" t="n">
        <v>58</v>
      </c>
      <c r="J559" s="22" t="n">
        <v>0</v>
      </c>
      <c r="K559" s="21" t="n">
        <f aca="false">G559*H559*(1-J559)</f>
        <v>90</v>
      </c>
      <c r="L559" s="21" t="n">
        <f aca="false">G559*I559</f>
        <v>58</v>
      </c>
      <c r="M559" s="21" t="n">
        <f aca="false">K559-L559</f>
        <v>32</v>
      </c>
      <c r="N559" s="11" t="str">
        <f aca="false">TEXT(B559,"mmm")</f>
        <v>Jun</v>
      </c>
    </row>
    <row r="560" customFormat="false" ht="15" hidden="false" customHeight="false" outlineLevel="0" collapsed="false">
      <c r="A560" s="11" t="s">
        <v>621</v>
      </c>
      <c r="B560" s="20" t="n">
        <v>45815</v>
      </c>
      <c r="C560" s="11" t="s">
        <v>22</v>
      </c>
      <c r="D560" s="11" t="s">
        <v>37</v>
      </c>
      <c r="E560" s="11" t="s">
        <v>49</v>
      </c>
      <c r="F560" s="11" t="s">
        <v>45</v>
      </c>
      <c r="G560" s="11" t="n">
        <v>87</v>
      </c>
      <c r="H560" s="21" t="n">
        <v>28</v>
      </c>
      <c r="I560" s="21" t="n">
        <v>17</v>
      </c>
      <c r="J560" s="22" t="n">
        <v>0.15</v>
      </c>
      <c r="K560" s="21" t="n">
        <f aca="false">G560*H560*(1-J560)</f>
        <v>2070.6</v>
      </c>
      <c r="L560" s="21" t="n">
        <f aca="false">G560*I560</f>
        <v>1479</v>
      </c>
      <c r="M560" s="21" t="n">
        <f aca="false">K560-L560</f>
        <v>591.6</v>
      </c>
      <c r="N560" s="11" t="str">
        <f aca="false">TEXT(B560,"mmm")</f>
        <v>Jun</v>
      </c>
    </row>
    <row r="561" customFormat="false" ht="15" hidden="false" customHeight="false" outlineLevel="0" collapsed="false">
      <c r="A561" s="11" t="s">
        <v>622</v>
      </c>
      <c r="B561" s="20" t="n">
        <v>45815</v>
      </c>
      <c r="C561" s="11" t="s">
        <v>24</v>
      </c>
      <c r="D561" s="11" t="s">
        <v>37</v>
      </c>
      <c r="E561" s="11" t="s">
        <v>53</v>
      </c>
      <c r="F561" s="11" t="s">
        <v>44</v>
      </c>
      <c r="G561" s="11" t="n">
        <v>37</v>
      </c>
      <c r="H561" s="21" t="n">
        <v>9</v>
      </c>
      <c r="I561" s="21" t="n">
        <v>4.5</v>
      </c>
      <c r="J561" s="22" t="n">
        <v>0.05</v>
      </c>
      <c r="K561" s="21" t="n">
        <f aca="false">G561*H561*(1-J561)</f>
        <v>316.35</v>
      </c>
      <c r="L561" s="21" t="n">
        <f aca="false">G561*I561</f>
        <v>166.5</v>
      </c>
      <c r="M561" s="21" t="n">
        <f aca="false">K561-L561</f>
        <v>149.85</v>
      </c>
      <c r="N561" s="11" t="str">
        <f aca="false">TEXT(B561,"mmm")</f>
        <v>Jun</v>
      </c>
    </row>
    <row r="562" customFormat="false" ht="15" hidden="false" customHeight="false" outlineLevel="0" collapsed="false">
      <c r="A562" s="11" t="s">
        <v>623</v>
      </c>
      <c r="B562" s="20" t="n">
        <v>45815</v>
      </c>
      <c r="C562" s="11" t="s">
        <v>22</v>
      </c>
      <c r="D562" s="11" t="s">
        <v>37</v>
      </c>
      <c r="E562" s="11" t="s">
        <v>52</v>
      </c>
      <c r="F562" s="11" t="s">
        <v>42</v>
      </c>
      <c r="G562" s="11" t="n">
        <v>6</v>
      </c>
      <c r="H562" s="21" t="n">
        <v>12</v>
      </c>
      <c r="I562" s="21" t="n">
        <v>6</v>
      </c>
      <c r="J562" s="22" t="n">
        <v>0.15</v>
      </c>
      <c r="K562" s="21" t="n">
        <f aca="false">G562*H562*(1-J562)</f>
        <v>61.2</v>
      </c>
      <c r="L562" s="21" t="n">
        <f aca="false">G562*I562</f>
        <v>36</v>
      </c>
      <c r="M562" s="21" t="n">
        <f aca="false">K562-L562</f>
        <v>25.2</v>
      </c>
      <c r="N562" s="11" t="str">
        <f aca="false">TEXT(B562,"mmm")</f>
        <v>Jun</v>
      </c>
    </row>
    <row r="563" customFormat="false" ht="15" hidden="false" customHeight="false" outlineLevel="0" collapsed="false">
      <c r="A563" s="11" t="s">
        <v>624</v>
      </c>
      <c r="B563" s="20" t="n">
        <v>45816</v>
      </c>
      <c r="C563" s="11" t="s">
        <v>20</v>
      </c>
      <c r="D563" s="11" t="s">
        <v>37</v>
      </c>
      <c r="E563" s="11" t="s">
        <v>53</v>
      </c>
      <c r="F563" s="11" t="s">
        <v>42</v>
      </c>
      <c r="G563" s="11" t="n">
        <v>32</v>
      </c>
      <c r="H563" s="21" t="n">
        <v>9</v>
      </c>
      <c r="I563" s="21" t="n">
        <v>4.5</v>
      </c>
      <c r="J563" s="22" t="n">
        <v>0.1</v>
      </c>
      <c r="K563" s="21" t="n">
        <f aca="false">G563*H563*(1-J563)</f>
        <v>259.2</v>
      </c>
      <c r="L563" s="21" t="n">
        <f aca="false">G563*I563</f>
        <v>144</v>
      </c>
      <c r="M563" s="21" t="n">
        <f aca="false">K563-L563</f>
        <v>115.2</v>
      </c>
      <c r="N563" s="11" t="str">
        <f aca="false">TEXT(B563,"mmm")</f>
        <v>Jun</v>
      </c>
    </row>
    <row r="564" customFormat="false" ht="15" hidden="false" customHeight="false" outlineLevel="0" collapsed="false">
      <c r="A564" s="11" t="s">
        <v>625</v>
      </c>
      <c r="B564" s="20" t="n">
        <v>45816</v>
      </c>
      <c r="C564" s="11" t="s">
        <v>18</v>
      </c>
      <c r="D564" s="11" t="s">
        <v>33</v>
      </c>
      <c r="E564" s="11" t="s">
        <v>50</v>
      </c>
      <c r="F564" s="11" t="s">
        <v>42</v>
      </c>
      <c r="G564" s="11" t="n">
        <v>1</v>
      </c>
      <c r="H564" s="21" t="n">
        <v>780</v>
      </c>
      <c r="I564" s="21" t="n">
        <v>600</v>
      </c>
      <c r="J564" s="22" t="n">
        <v>0.05</v>
      </c>
      <c r="K564" s="21" t="n">
        <f aca="false">G564*H564*(1-J564)</f>
        <v>741</v>
      </c>
      <c r="L564" s="21" t="n">
        <f aca="false">G564*I564</f>
        <v>600</v>
      </c>
      <c r="M564" s="21" t="n">
        <f aca="false">K564-L564</f>
        <v>141</v>
      </c>
      <c r="N564" s="11" t="str">
        <f aca="false">TEXT(B564,"mmm")</f>
        <v>Jun</v>
      </c>
    </row>
    <row r="565" customFormat="false" ht="15" hidden="false" customHeight="false" outlineLevel="0" collapsed="false">
      <c r="A565" s="11" t="s">
        <v>626</v>
      </c>
      <c r="B565" s="20" t="n">
        <v>45817</v>
      </c>
      <c r="C565" s="11" t="s">
        <v>18</v>
      </c>
      <c r="D565" s="11" t="s">
        <v>35</v>
      </c>
      <c r="E565" s="11" t="s">
        <v>56</v>
      </c>
      <c r="F565" s="11" t="s">
        <v>42</v>
      </c>
      <c r="G565" s="11" t="n">
        <v>2</v>
      </c>
      <c r="H565" s="21" t="n">
        <v>110</v>
      </c>
      <c r="I565" s="21" t="n">
        <v>62</v>
      </c>
      <c r="J565" s="22" t="n">
        <v>0.05</v>
      </c>
      <c r="K565" s="21" t="n">
        <f aca="false">G565*H565*(1-J565)</f>
        <v>209</v>
      </c>
      <c r="L565" s="21" t="n">
        <f aca="false">G565*I565</f>
        <v>124</v>
      </c>
      <c r="M565" s="21" t="n">
        <f aca="false">K565-L565</f>
        <v>85</v>
      </c>
      <c r="N565" s="11" t="str">
        <f aca="false">TEXT(B565,"mmm")</f>
        <v>Jun</v>
      </c>
    </row>
    <row r="566" customFormat="false" ht="15" hidden="false" customHeight="false" outlineLevel="0" collapsed="false">
      <c r="A566" s="11" t="s">
        <v>627</v>
      </c>
      <c r="B566" s="20" t="n">
        <v>45818</v>
      </c>
      <c r="C566" s="11" t="s">
        <v>18</v>
      </c>
      <c r="D566" s="11" t="s">
        <v>37</v>
      </c>
      <c r="E566" s="11" t="s">
        <v>52</v>
      </c>
      <c r="F566" s="11" t="s">
        <v>44</v>
      </c>
      <c r="G566" s="11" t="n">
        <v>9</v>
      </c>
      <c r="H566" s="21" t="n">
        <v>12</v>
      </c>
      <c r="I566" s="21" t="n">
        <v>6</v>
      </c>
      <c r="J566" s="22" t="n">
        <v>0.05</v>
      </c>
      <c r="K566" s="21" t="n">
        <f aca="false">G566*H566*(1-J566)</f>
        <v>102.6</v>
      </c>
      <c r="L566" s="21" t="n">
        <f aca="false">G566*I566</f>
        <v>54</v>
      </c>
      <c r="M566" s="21" t="n">
        <f aca="false">K566-L566</f>
        <v>48.6</v>
      </c>
      <c r="N566" s="11" t="str">
        <f aca="false">TEXT(B566,"mmm")</f>
        <v>Jun</v>
      </c>
    </row>
    <row r="567" customFormat="false" ht="15" hidden="false" customHeight="false" outlineLevel="0" collapsed="false">
      <c r="A567" s="11" t="s">
        <v>628</v>
      </c>
      <c r="B567" s="20" t="n">
        <v>45818</v>
      </c>
      <c r="C567" s="11" t="s">
        <v>20</v>
      </c>
      <c r="D567" s="11" t="s">
        <v>37</v>
      </c>
      <c r="E567" s="11" t="s">
        <v>49</v>
      </c>
      <c r="F567" s="11" t="s">
        <v>42</v>
      </c>
      <c r="G567" s="11" t="n">
        <v>6</v>
      </c>
      <c r="H567" s="21" t="n">
        <v>28</v>
      </c>
      <c r="I567" s="21" t="n">
        <v>17</v>
      </c>
      <c r="J567" s="22" t="n">
        <v>0.1</v>
      </c>
      <c r="K567" s="21" t="n">
        <f aca="false">G567*H567*(1-J567)</f>
        <v>151.2</v>
      </c>
      <c r="L567" s="21" t="n">
        <f aca="false">G567*I567</f>
        <v>102</v>
      </c>
      <c r="M567" s="21" t="n">
        <f aca="false">K567-L567</f>
        <v>49.2</v>
      </c>
      <c r="N567" s="11" t="str">
        <f aca="false">TEXT(B567,"mmm")</f>
        <v>Jun</v>
      </c>
    </row>
    <row r="568" customFormat="false" ht="15" hidden="false" customHeight="false" outlineLevel="0" collapsed="false">
      <c r="A568" s="11" t="s">
        <v>629</v>
      </c>
      <c r="B568" s="20" t="n">
        <v>45818</v>
      </c>
      <c r="C568" s="11" t="s">
        <v>20</v>
      </c>
      <c r="D568" s="11" t="s">
        <v>37</v>
      </c>
      <c r="E568" s="11" t="s">
        <v>53</v>
      </c>
      <c r="F568" s="11" t="s">
        <v>45</v>
      </c>
      <c r="G568" s="11" t="n">
        <v>66</v>
      </c>
      <c r="H568" s="21" t="n">
        <v>9</v>
      </c>
      <c r="I568" s="21" t="n">
        <v>4.5</v>
      </c>
      <c r="J568" s="22" t="n">
        <v>0.15</v>
      </c>
      <c r="K568" s="21" t="n">
        <f aca="false">G568*H568*(1-J568)</f>
        <v>504.9</v>
      </c>
      <c r="L568" s="21" t="n">
        <f aca="false">G568*I568</f>
        <v>297</v>
      </c>
      <c r="M568" s="21" t="n">
        <f aca="false">K568-L568</f>
        <v>207.9</v>
      </c>
      <c r="N568" s="11" t="str">
        <f aca="false">TEXT(B568,"mmm")</f>
        <v>Jun</v>
      </c>
    </row>
    <row r="569" customFormat="false" ht="15" hidden="false" customHeight="false" outlineLevel="0" collapsed="false">
      <c r="A569" s="11" t="s">
        <v>630</v>
      </c>
      <c r="B569" s="20" t="n">
        <v>45818</v>
      </c>
      <c r="C569" s="11" t="s">
        <v>22</v>
      </c>
      <c r="D569" s="11" t="s">
        <v>37</v>
      </c>
      <c r="E569" s="11" t="s">
        <v>49</v>
      </c>
      <c r="F569" s="11" t="s">
        <v>44</v>
      </c>
      <c r="G569" s="11" t="n">
        <v>13</v>
      </c>
      <c r="H569" s="21" t="n">
        <v>28</v>
      </c>
      <c r="I569" s="21" t="n">
        <v>17</v>
      </c>
      <c r="J569" s="22" t="n">
        <v>0</v>
      </c>
      <c r="K569" s="21" t="n">
        <f aca="false">G569*H569*(1-J569)</f>
        <v>364</v>
      </c>
      <c r="L569" s="21" t="n">
        <f aca="false">G569*I569</f>
        <v>221</v>
      </c>
      <c r="M569" s="21" t="n">
        <f aca="false">K569-L569</f>
        <v>143</v>
      </c>
      <c r="N569" s="11" t="str">
        <f aca="false">TEXT(B569,"mmm")</f>
        <v>Jun</v>
      </c>
    </row>
    <row r="570" customFormat="false" ht="15" hidden="false" customHeight="false" outlineLevel="0" collapsed="false">
      <c r="A570" s="11" t="s">
        <v>631</v>
      </c>
      <c r="B570" s="20" t="n">
        <v>45818</v>
      </c>
      <c r="C570" s="11" t="s">
        <v>24</v>
      </c>
      <c r="D570" s="11" t="s">
        <v>37</v>
      </c>
      <c r="E570" s="11" t="s">
        <v>49</v>
      </c>
      <c r="F570" s="11" t="s">
        <v>42</v>
      </c>
      <c r="G570" s="11" t="n">
        <v>14</v>
      </c>
      <c r="H570" s="21" t="n">
        <v>28</v>
      </c>
      <c r="I570" s="21" t="n">
        <v>17</v>
      </c>
      <c r="J570" s="22" t="n">
        <v>0.1</v>
      </c>
      <c r="K570" s="21" t="n">
        <f aca="false">G570*H570*(1-J570)</f>
        <v>352.8</v>
      </c>
      <c r="L570" s="21" t="n">
        <f aca="false">G570*I570</f>
        <v>238</v>
      </c>
      <c r="M570" s="21" t="n">
        <f aca="false">K570-L570</f>
        <v>114.8</v>
      </c>
      <c r="N570" s="11" t="str">
        <f aca="false">TEXT(B570,"mmm")</f>
        <v>Jun</v>
      </c>
    </row>
    <row r="571" customFormat="false" ht="15" hidden="false" customHeight="false" outlineLevel="0" collapsed="false">
      <c r="A571" s="11" t="s">
        <v>632</v>
      </c>
      <c r="B571" s="20" t="n">
        <v>45818</v>
      </c>
      <c r="C571" s="11" t="s">
        <v>20</v>
      </c>
      <c r="D571" s="11" t="s">
        <v>37</v>
      </c>
      <c r="E571" s="11" t="s">
        <v>49</v>
      </c>
      <c r="F571" s="11" t="s">
        <v>45</v>
      </c>
      <c r="G571" s="11" t="n">
        <v>54</v>
      </c>
      <c r="H571" s="21" t="n">
        <v>28</v>
      </c>
      <c r="I571" s="21" t="n">
        <v>17</v>
      </c>
      <c r="J571" s="22" t="n">
        <v>0.1</v>
      </c>
      <c r="K571" s="21" t="n">
        <f aca="false">G571*H571*(1-J571)</f>
        <v>1360.8</v>
      </c>
      <c r="L571" s="21" t="n">
        <f aca="false">G571*I571</f>
        <v>918</v>
      </c>
      <c r="M571" s="21" t="n">
        <f aca="false">K571-L571</f>
        <v>442.8</v>
      </c>
      <c r="N571" s="11" t="str">
        <f aca="false">TEXT(B571,"mmm")</f>
        <v>Jun</v>
      </c>
    </row>
    <row r="572" customFormat="false" ht="15" hidden="false" customHeight="false" outlineLevel="0" collapsed="false">
      <c r="A572" s="11" t="s">
        <v>633</v>
      </c>
      <c r="B572" s="20" t="n">
        <v>45819</v>
      </c>
      <c r="C572" s="11" t="s">
        <v>24</v>
      </c>
      <c r="D572" s="11" t="s">
        <v>35</v>
      </c>
      <c r="E572" s="11" t="s">
        <v>55</v>
      </c>
      <c r="F572" s="11" t="s">
        <v>42</v>
      </c>
      <c r="G572" s="11" t="n">
        <v>2</v>
      </c>
      <c r="H572" s="21" t="n">
        <v>150</v>
      </c>
      <c r="I572" s="21" t="n">
        <v>82</v>
      </c>
      <c r="J572" s="22" t="n">
        <v>0.1</v>
      </c>
      <c r="K572" s="21" t="n">
        <f aca="false">G572*H572*(1-J572)</f>
        <v>270</v>
      </c>
      <c r="L572" s="21" t="n">
        <f aca="false">G572*I572</f>
        <v>164</v>
      </c>
      <c r="M572" s="21" t="n">
        <f aca="false">K572-L572</f>
        <v>106</v>
      </c>
      <c r="N572" s="11" t="str">
        <f aca="false">TEXT(B572,"mmm")</f>
        <v>Jun</v>
      </c>
    </row>
    <row r="573" customFormat="false" ht="15" hidden="false" customHeight="false" outlineLevel="0" collapsed="false">
      <c r="A573" s="11" t="s">
        <v>634</v>
      </c>
      <c r="B573" s="20" t="n">
        <v>45819</v>
      </c>
      <c r="C573" s="11" t="s">
        <v>22</v>
      </c>
      <c r="D573" s="11" t="s">
        <v>35</v>
      </c>
      <c r="E573" s="11" t="s">
        <v>56</v>
      </c>
      <c r="F573" s="11" t="s">
        <v>44</v>
      </c>
      <c r="G573" s="11" t="n">
        <v>2</v>
      </c>
      <c r="H573" s="21" t="n">
        <v>110</v>
      </c>
      <c r="I573" s="21" t="n">
        <v>62</v>
      </c>
      <c r="J573" s="22" t="n">
        <v>0.05</v>
      </c>
      <c r="K573" s="21" t="n">
        <f aca="false">G573*H573*(1-J573)</f>
        <v>209</v>
      </c>
      <c r="L573" s="21" t="n">
        <f aca="false">G573*I573</f>
        <v>124</v>
      </c>
      <c r="M573" s="21" t="n">
        <f aca="false">K573-L573</f>
        <v>85</v>
      </c>
      <c r="N573" s="11" t="str">
        <f aca="false">TEXT(B573,"mmm")</f>
        <v>Jun</v>
      </c>
    </row>
    <row r="574" customFormat="false" ht="15" hidden="false" customHeight="false" outlineLevel="0" collapsed="false">
      <c r="A574" s="11" t="s">
        <v>635</v>
      </c>
      <c r="B574" s="20" t="n">
        <v>45819</v>
      </c>
      <c r="C574" s="11" t="s">
        <v>22</v>
      </c>
      <c r="D574" s="11" t="s">
        <v>35</v>
      </c>
      <c r="E574" s="11" t="s">
        <v>56</v>
      </c>
      <c r="F574" s="11" t="s">
        <v>44</v>
      </c>
      <c r="G574" s="11" t="n">
        <v>4</v>
      </c>
      <c r="H574" s="21" t="n">
        <v>110</v>
      </c>
      <c r="I574" s="21" t="n">
        <v>62</v>
      </c>
      <c r="J574" s="22" t="n">
        <v>0</v>
      </c>
      <c r="K574" s="21" t="n">
        <f aca="false">G574*H574*(1-J574)</f>
        <v>440</v>
      </c>
      <c r="L574" s="21" t="n">
        <f aca="false">G574*I574</f>
        <v>248</v>
      </c>
      <c r="M574" s="21" t="n">
        <f aca="false">K574-L574</f>
        <v>192</v>
      </c>
      <c r="N574" s="11" t="str">
        <f aca="false">TEXT(B574,"mmm")</f>
        <v>Jun</v>
      </c>
    </row>
    <row r="575" customFormat="false" ht="15" hidden="false" customHeight="false" outlineLevel="0" collapsed="false">
      <c r="A575" s="11" t="s">
        <v>636</v>
      </c>
      <c r="B575" s="20" t="n">
        <v>45819</v>
      </c>
      <c r="C575" s="11" t="s">
        <v>20</v>
      </c>
      <c r="D575" s="11" t="s">
        <v>37</v>
      </c>
      <c r="E575" s="11" t="s">
        <v>53</v>
      </c>
      <c r="F575" s="11" t="s">
        <v>44</v>
      </c>
      <c r="G575" s="11" t="n">
        <v>39</v>
      </c>
      <c r="H575" s="21" t="n">
        <v>9</v>
      </c>
      <c r="I575" s="21" t="n">
        <v>4.5</v>
      </c>
      <c r="J575" s="22" t="n">
        <v>0.05</v>
      </c>
      <c r="K575" s="21" t="n">
        <f aca="false">G575*H575*(1-J575)</f>
        <v>333.45</v>
      </c>
      <c r="L575" s="21" t="n">
        <f aca="false">G575*I575</f>
        <v>175.5</v>
      </c>
      <c r="M575" s="21" t="n">
        <f aca="false">K575-L575</f>
        <v>157.95</v>
      </c>
      <c r="N575" s="11" t="str">
        <f aca="false">TEXT(B575,"mmm")</f>
        <v>Jun</v>
      </c>
    </row>
    <row r="576" customFormat="false" ht="15" hidden="false" customHeight="false" outlineLevel="0" collapsed="false">
      <c r="A576" s="11" t="s">
        <v>637</v>
      </c>
      <c r="B576" s="20" t="n">
        <v>45820</v>
      </c>
      <c r="C576" s="11" t="s">
        <v>18</v>
      </c>
      <c r="D576" s="11" t="s">
        <v>33</v>
      </c>
      <c r="E576" s="11" t="s">
        <v>50</v>
      </c>
      <c r="F576" s="11" t="s">
        <v>44</v>
      </c>
      <c r="G576" s="11" t="n">
        <v>2</v>
      </c>
      <c r="H576" s="21" t="n">
        <v>780</v>
      </c>
      <c r="I576" s="21" t="n">
        <v>600</v>
      </c>
      <c r="J576" s="22" t="n">
        <v>0.1</v>
      </c>
      <c r="K576" s="21" t="n">
        <f aca="false">G576*H576*(1-J576)</f>
        <v>1404</v>
      </c>
      <c r="L576" s="21" t="n">
        <f aca="false">G576*I576</f>
        <v>1200</v>
      </c>
      <c r="M576" s="21" t="n">
        <f aca="false">K576-L576</f>
        <v>204</v>
      </c>
      <c r="N576" s="11" t="str">
        <f aca="false">TEXT(B576,"mmm")</f>
        <v>Jun</v>
      </c>
    </row>
    <row r="577" customFormat="false" ht="15" hidden="false" customHeight="false" outlineLevel="0" collapsed="false">
      <c r="A577" s="11" t="s">
        <v>638</v>
      </c>
      <c r="B577" s="20" t="n">
        <v>45820</v>
      </c>
      <c r="C577" s="11" t="s">
        <v>20</v>
      </c>
      <c r="D577" s="11" t="s">
        <v>37</v>
      </c>
      <c r="E577" s="11" t="s">
        <v>52</v>
      </c>
      <c r="F577" s="11" t="s">
        <v>42</v>
      </c>
      <c r="G577" s="11" t="n">
        <v>16</v>
      </c>
      <c r="H577" s="21" t="n">
        <v>12</v>
      </c>
      <c r="I577" s="21" t="n">
        <v>6</v>
      </c>
      <c r="J577" s="22" t="n">
        <v>0</v>
      </c>
      <c r="K577" s="21" t="n">
        <f aca="false">G577*H577*(1-J577)</f>
        <v>192</v>
      </c>
      <c r="L577" s="21" t="n">
        <f aca="false">G577*I577</f>
        <v>96</v>
      </c>
      <c r="M577" s="21" t="n">
        <f aca="false">K577-L577</f>
        <v>96</v>
      </c>
      <c r="N577" s="11" t="str">
        <f aca="false">TEXT(B577,"mmm")</f>
        <v>Jun</v>
      </c>
    </row>
    <row r="578" customFormat="false" ht="15" hidden="false" customHeight="false" outlineLevel="0" collapsed="false">
      <c r="A578" s="11" t="s">
        <v>639</v>
      </c>
      <c r="B578" s="20" t="n">
        <v>45820</v>
      </c>
      <c r="C578" s="11" t="s">
        <v>20</v>
      </c>
      <c r="D578" s="11" t="s">
        <v>33</v>
      </c>
      <c r="E578" s="11" t="s">
        <v>51</v>
      </c>
      <c r="F578" s="11" t="s">
        <v>42</v>
      </c>
      <c r="G578" s="11" t="n">
        <v>2</v>
      </c>
      <c r="H578" s="21" t="n">
        <v>90</v>
      </c>
      <c r="I578" s="21" t="n">
        <v>58</v>
      </c>
      <c r="J578" s="22" t="n">
        <v>0.1</v>
      </c>
      <c r="K578" s="21" t="n">
        <f aca="false">G578*H578*(1-J578)</f>
        <v>162</v>
      </c>
      <c r="L578" s="21" t="n">
        <f aca="false">G578*I578</f>
        <v>116</v>
      </c>
      <c r="M578" s="21" t="n">
        <f aca="false">K578-L578</f>
        <v>46</v>
      </c>
      <c r="N578" s="11" t="str">
        <f aca="false">TEXT(B578,"mmm")</f>
        <v>Jun</v>
      </c>
    </row>
    <row r="579" customFormat="false" ht="15" hidden="false" customHeight="false" outlineLevel="0" collapsed="false">
      <c r="A579" s="11" t="s">
        <v>640</v>
      </c>
      <c r="B579" s="20" t="n">
        <v>45820</v>
      </c>
      <c r="C579" s="11" t="s">
        <v>22</v>
      </c>
      <c r="D579" s="11" t="s">
        <v>35</v>
      </c>
      <c r="E579" s="11" t="s">
        <v>55</v>
      </c>
      <c r="F579" s="11" t="s">
        <v>42</v>
      </c>
      <c r="G579" s="11" t="n">
        <v>2</v>
      </c>
      <c r="H579" s="21" t="n">
        <v>150</v>
      </c>
      <c r="I579" s="21" t="n">
        <v>82</v>
      </c>
      <c r="J579" s="22" t="n">
        <v>0.05</v>
      </c>
      <c r="K579" s="21" t="n">
        <f aca="false">G579*H579*(1-J579)</f>
        <v>285</v>
      </c>
      <c r="L579" s="21" t="n">
        <f aca="false">G579*I579</f>
        <v>164</v>
      </c>
      <c r="M579" s="21" t="n">
        <f aca="false">K579-L579</f>
        <v>121</v>
      </c>
      <c r="N579" s="11" t="str">
        <f aca="false">TEXT(B579,"mmm")</f>
        <v>Jun</v>
      </c>
    </row>
    <row r="580" customFormat="false" ht="15" hidden="false" customHeight="false" outlineLevel="0" collapsed="false">
      <c r="A580" s="11" t="s">
        <v>641</v>
      </c>
      <c r="B580" s="20" t="n">
        <v>45821</v>
      </c>
      <c r="C580" s="11" t="s">
        <v>22</v>
      </c>
      <c r="D580" s="11" t="s">
        <v>37</v>
      </c>
      <c r="E580" s="11" t="s">
        <v>49</v>
      </c>
      <c r="F580" s="11" t="s">
        <v>45</v>
      </c>
      <c r="G580" s="11" t="n">
        <v>60</v>
      </c>
      <c r="H580" s="21" t="n">
        <v>28</v>
      </c>
      <c r="I580" s="21" t="n">
        <v>17</v>
      </c>
      <c r="J580" s="22" t="n">
        <v>0.15</v>
      </c>
      <c r="K580" s="21" t="n">
        <f aca="false">G580*H580*(1-J580)</f>
        <v>1428</v>
      </c>
      <c r="L580" s="21" t="n">
        <f aca="false">G580*I580</f>
        <v>1020</v>
      </c>
      <c r="M580" s="21" t="n">
        <f aca="false">K580-L580</f>
        <v>408</v>
      </c>
      <c r="N580" s="11" t="str">
        <f aca="false">TEXT(B580,"mmm")</f>
        <v>Jun</v>
      </c>
    </row>
    <row r="581" customFormat="false" ht="15" hidden="false" customHeight="false" outlineLevel="0" collapsed="false">
      <c r="A581" s="11" t="s">
        <v>642</v>
      </c>
      <c r="B581" s="20" t="n">
        <v>45821</v>
      </c>
      <c r="C581" s="11" t="s">
        <v>24</v>
      </c>
      <c r="D581" s="11" t="s">
        <v>33</v>
      </c>
      <c r="E581" s="11" t="s">
        <v>51</v>
      </c>
      <c r="F581" s="11" t="s">
        <v>45</v>
      </c>
      <c r="G581" s="11" t="n">
        <v>6</v>
      </c>
      <c r="H581" s="21" t="n">
        <v>90</v>
      </c>
      <c r="I581" s="21" t="n">
        <v>58</v>
      </c>
      <c r="J581" s="22" t="n">
        <v>0.1</v>
      </c>
      <c r="K581" s="21" t="n">
        <f aca="false">G581*H581*(1-J581)</f>
        <v>486</v>
      </c>
      <c r="L581" s="21" t="n">
        <f aca="false">G581*I581</f>
        <v>348</v>
      </c>
      <c r="M581" s="21" t="n">
        <f aca="false">K581-L581</f>
        <v>138</v>
      </c>
      <c r="N581" s="11" t="str">
        <f aca="false">TEXT(B581,"mmm")</f>
        <v>Jun</v>
      </c>
    </row>
    <row r="582" customFormat="false" ht="15" hidden="false" customHeight="false" outlineLevel="0" collapsed="false">
      <c r="A582" s="11" t="s">
        <v>643</v>
      </c>
      <c r="B582" s="20" t="n">
        <v>45821</v>
      </c>
      <c r="C582" s="11" t="s">
        <v>18</v>
      </c>
      <c r="D582" s="11" t="s">
        <v>37</v>
      </c>
      <c r="E582" s="11" t="s">
        <v>52</v>
      </c>
      <c r="F582" s="11" t="s">
        <v>42</v>
      </c>
      <c r="G582" s="11" t="n">
        <v>26</v>
      </c>
      <c r="H582" s="21" t="n">
        <v>12</v>
      </c>
      <c r="I582" s="21" t="n">
        <v>6</v>
      </c>
      <c r="J582" s="22" t="n">
        <v>0</v>
      </c>
      <c r="K582" s="21" t="n">
        <f aca="false">G582*H582*(1-J582)</f>
        <v>312</v>
      </c>
      <c r="L582" s="21" t="n">
        <f aca="false">G582*I582</f>
        <v>156</v>
      </c>
      <c r="M582" s="21" t="n">
        <f aca="false">K582-L582</f>
        <v>156</v>
      </c>
      <c r="N582" s="11" t="str">
        <f aca="false">TEXT(B582,"mmm")</f>
        <v>Jun</v>
      </c>
    </row>
    <row r="583" customFormat="false" ht="15" hidden="false" customHeight="false" outlineLevel="0" collapsed="false">
      <c r="A583" s="11" t="s">
        <v>644</v>
      </c>
      <c r="B583" s="20" t="n">
        <v>45822</v>
      </c>
      <c r="C583" s="11" t="s">
        <v>18</v>
      </c>
      <c r="D583" s="11" t="s">
        <v>33</v>
      </c>
      <c r="E583" s="11" t="s">
        <v>51</v>
      </c>
      <c r="F583" s="11" t="s">
        <v>42</v>
      </c>
      <c r="G583" s="11" t="n">
        <v>3</v>
      </c>
      <c r="H583" s="21" t="n">
        <v>90</v>
      </c>
      <c r="I583" s="21" t="n">
        <v>58</v>
      </c>
      <c r="J583" s="22" t="n">
        <v>0.05</v>
      </c>
      <c r="K583" s="21" t="n">
        <f aca="false">G583*H583*(1-J583)</f>
        <v>256.5</v>
      </c>
      <c r="L583" s="21" t="n">
        <f aca="false">G583*I583</f>
        <v>174</v>
      </c>
      <c r="M583" s="21" t="n">
        <f aca="false">K583-L583</f>
        <v>82.5</v>
      </c>
      <c r="N583" s="11" t="str">
        <f aca="false">TEXT(B583,"mmm")</f>
        <v>Jun</v>
      </c>
    </row>
    <row r="584" customFormat="false" ht="15" hidden="false" customHeight="false" outlineLevel="0" collapsed="false">
      <c r="A584" s="11" t="s">
        <v>645</v>
      </c>
      <c r="B584" s="20" t="n">
        <v>45822</v>
      </c>
      <c r="C584" s="11" t="s">
        <v>20</v>
      </c>
      <c r="D584" s="11" t="s">
        <v>35</v>
      </c>
      <c r="E584" s="11" t="s">
        <v>56</v>
      </c>
      <c r="F584" s="11" t="s">
        <v>44</v>
      </c>
      <c r="G584" s="11" t="n">
        <v>2</v>
      </c>
      <c r="H584" s="21" t="n">
        <v>110</v>
      </c>
      <c r="I584" s="21" t="n">
        <v>62</v>
      </c>
      <c r="J584" s="22" t="n">
        <v>0.05</v>
      </c>
      <c r="K584" s="21" t="n">
        <f aca="false">G584*H584*(1-J584)</f>
        <v>209</v>
      </c>
      <c r="L584" s="21" t="n">
        <f aca="false">G584*I584</f>
        <v>124</v>
      </c>
      <c r="M584" s="21" t="n">
        <f aca="false">K584-L584</f>
        <v>85</v>
      </c>
      <c r="N584" s="11" t="str">
        <f aca="false">TEXT(B584,"mmm")</f>
        <v>Jun</v>
      </c>
    </row>
    <row r="585" customFormat="false" ht="15" hidden="false" customHeight="false" outlineLevel="0" collapsed="false">
      <c r="A585" s="11" t="s">
        <v>646</v>
      </c>
      <c r="B585" s="20" t="n">
        <v>45822</v>
      </c>
      <c r="C585" s="11" t="s">
        <v>24</v>
      </c>
      <c r="D585" s="11" t="s">
        <v>35</v>
      </c>
      <c r="E585" s="11" t="s">
        <v>56</v>
      </c>
      <c r="F585" s="11" t="s">
        <v>45</v>
      </c>
      <c r="G585" s="11" t="n">
        <v>3</v>
      </c>
      <c r="H585" s="21" t="n">
        <v>110</v>
      </c>
      <c r="I585" s="21" t="n">
        <v>62</v>
      </c>
      <c r="J585" s="22" t="n">
        <v>0.2</v>
      </c>
      <c r="K585" s="21" t="n">
        <f aca="false">G585*H585*(1-J585)</f>
        <v>264</v>
      </c>
      <c r="L585" s="21" t="n">
        <f aca="false">G585*I585</f>
        <v>186</v>
      </c>
      <c r="M585" s="21" t="n">
        <f aca="false">K585-L585</f>
        <v>78</v>
      </c>
      <c r="N585" s="11" t="str">
        <f aca="false">TEXT(B585,"mmm")</f>
        <v>Jun</v>
      </c>
    </row>
    <row r="586" customFormat="false" ht="15" hidden="false" customHeight="false" outlineLevel="0" collapsed="false">
      <c r="A586" s="11" t="s">
        <v>647</v>
      </c>
      <c r="B586" s="20" t="n">
        <v>45822</v>
      </c>
      <c r="C586" s="11" t="s">
        <v>20</v>
      </c>
      <c r="D586" s="11" t="s">
        <v>37</v>
      </c>
      <c r="E586" s="11" t="s">
        <v>52</v>
      </c>
      <c r="F586" s="11" t="s">
        <v>42</v>
      </c>
      <c r="G586" s="11" t="n">
        <v>9</v>
      </c>
      <c r="H586" s="21" t="n">
        <v>12</v>
      </c>
      <c r="I586" s="21" t="n">
        <v>6</v>
      </c>
      <c r="J586" s="22" t="n">
        <v>0.05</v>
      </c>
      <c r="K586" s="21" t="n">
        <f aca="false">G586*H586*(1-J586)</f>
        <v>102.6</v>
      </c>
      <c r="L586" s="21" t="n">
        <f aca="false">G586*I586</f>
        <v>54</v>
      </c>
      <c r="M586" s="21" t="n">
        <f aca="false">K586-L586</f>
        <v>48.6</v>
      </c>
      <c r="N586" s="11" t="str">
        <f aca="false">TEXT(B586,"mmm")</f>
        <v>Jun</v>
      </c>
    </row>
    <row r="587" customFormat="false" ht="15" hidden="false" customHeight="false" outlineLevel="0" collapsed="false">
      <c r="A587" s="11" t="s">
        <v>648</v>
      </c>
      <c r="B587" s="20" t="n">
        <v>45822</v>
      </c>
      <c r="C587" s="11" t="s">
        <v>20</v>
      </c>
      <c r="D587" s="11" t="s">
        <v>33</v>
      </c>
      <c r="E587" s="11" t="s">
        <v>51</v>
      </c>
      <c r="F587" s="11" t="s">
        <v>42</v>
      </c>
      <c r="G587" s="11" t="n">
        <v>1</v>
      </c>
      <c r="H587" s="21" t="n">
        <v>90</v>
      </c>
      <c r="I587" s="21" t="n">
        <v>58</v>
      </c>
      <c r="J587" s="22" t="n">
        <v>0</v>
      </c>
      <c r="K587" s="21" t="n">
        <f aca="false">G587*H587*(1-J587)</f>
        <v>90</v>
      </c>
      <c r="L587" s="21" t="n">
        <f aca="false">G587*I587</f>
        <v>58</v>
      </c>
      <c r="M587" s="21" t="n">
        <f aca="false">K587-L587</f>
        <v>32</v>
      </c>
      <c r="N587" s="11" t="str">
        <f aca="false">TEXT(B587,"mmm")</f>
        <v>Jun</v>
      </c>
    </row>
    <row r="588" customFormat="false" ht="15" hidden="false" customHeight="false" outlineLevel="0" collapsed="false">
      <c r="A588" s="11" t="s">
        <v>649</v>
      </c>
      <c r="B588" s="20" t="n">
        <v>45822</v>
      </c>
      <c r="C588" s="11" t="s">
        <v>18</v>
      </c>
      <c r="D588" s="11" t="s">
        <v>33</v>
      </c>
      <c r="E588" s="11" t="s">
        <v>51</v>
      </c>
      <c r="F588" s="11" t="s">
        <v>42</v>
      </c>
      <c r="G588" s="11" t="n">
        <v>3</v>
      </c>
      <c r="H588" s="21" t="n">
        <v>90</v>
      </c>
      <c r="I588" s="21" t="n">
        <v>58</v>
      </c>
      <c r="J588" s="22" t="n">
        <v>0.05</v>
      </c>
      <c r="K588" s="21" t="n">
        <f aca="false">G588*H588*(1-J588)</f>
        <v>256.5</v>
      </c>
      <c r="L588" s="21" t="n">
        <f aca="false">G588*I588</f>
        <v>174</v>
      </c>
      <c r="M588" s="21" t="n">
        <f aca="false">K588-L588</f>
        <v>82.5</v>
      </c>
      <c r="N588" s="11" t="str">
        <f aca="false">TEXT(B588,"mmm")</f>
        <v>Jun</v>
      </c>
    </row>
    <row r="589" customFormat="false" ht="15" hidden="false" customHeight="false" outlineLevel="0" collapsed="false">
      <c r="A589" s="11" t="s">
        <v>650</v>
      </c>
      <c r="B589" s="20" t="n">
        <v>45823</v>
      </c>
      <c r="C589" s="11" t="s">
        <v>22</v>
      </c>
      <c r="D589" s="11" t="s">
        <v>33</v>
      </c>
      <c r="E589" s="11" t="s">
        <v>51</v>
      </c>
      <c r="F589" s="11" t="s">
        <v>45</v>
      </c>
      <c r="G589" s="11" t="n">
        <v>18</v>
      </c>
      <c r="H589" s="21" t="n">
        <v>90</v>
      </c>
      <c r="I589" s="21" t="n">
        <v>58</v>
      </c>
      <c r="J589" s="22" t="n">
        <v>0.15</v>
      </c>
      <c r="K589" s="21" t="n">
        <f aca="false">G589*H589*(1-J589)</f>
        <v>1377</v>
      </c>
      <c r="L589" s="21" t="n">
        <f aca="false">G589*I589</f>
        <v>1044</v>
      </c>
      <c r="M589" s="21" t="n">
        <f aca="false">K589-L589</f>
        <v>333</v>
      </c>
      <c r="N589" s="11" t="str">
        <f aca="false">TEXT(B589,"mmm")</f>
        <v>Jun</v>
      </c>
    </row>
    <row r="590" customFormat="false" ht="15" hidden="false" customHeight="false" outlineLevel="0" collapsed="false">
      <c r="A590" s="11" t="s">
        <v>651</v>
      </c>
      <c r="B590" s="20" t="n">
        <v>45823</v>
      </c>
      <c r="C590" s="11" t="s">
        <v>18</v>
      </c>
      <c r="D590" s="11" t="s">
        <v>37</v>
      </c>
      <c r="E590" s="11" t="s">
        <v>53</v>
      </c>
      <c r="F590" s="11" t="s">
        <v>44</v>
      </c>
      <c r="G590" s="11" t="n">
        <v>13</v>
      </c>
      <c r="H590" s="21" t="n">
        <v>9</v>
      </c>
      <c r="I590" s="21" t="n">
        <v>4.5</v>
      </c>
      <c r="J590" s="22" t="n">
        <v>0.1</v>
      </c>
      <c r="K590" s="21" t="n">
        <f aca="false">G590*H590*(1-J590)</f>
        <v>105.3</v>
      </c>
      <c r="L590" s="21" t="n">
        <f aca="false">G590*I590</f>
        <v>58.5</v>
      </c>
      <c r="M590" s="21" t="n">
        <f aca="false">K590-L590</f>
        <v>46.8</v>
      </c>
      <c r="N590" s="11" t="str">
        <f aca="false">TEXT(B590,"mmm")</f>
        <v>Jun</v>
      </c>
    </row>
    <row r="591" customFormat="false" ht="15" hidden="false" customHeight="false" outlineLevel="0" collapsed="false">
      <c r="A591" s="11" t="s">
        <v>652</v>
      </c>
      <c r="B591" s="20" t="n">
        <v>45823</v>
      </c>
      <c r="C591" s="11" t="s">
        <v>18</v>
      </c>
      <c r="D591" s="11" t="s">
        <v>37</v>
      </c>
      <c r="E591" s="11" t="s">
        <v>53</v>
      </c>
      <c r="F591" s="11" t="s">
        <v>45</v>
      </c>
      <c r="G591" s="11" t="n">
        <v>84</v>
      </c>
      <c r="H591" s="21" t="n">
        <v>9</v>
      </c>
      <c r="I591" s="21" t="n">
        <v>4.5</v>
      </c>
      <c r="J591" s="22" t="n">
        <v>0.2</v>
      </c>
      <c r="K591" s="21" t="n">
        <f aca="false">G591*H591*(1-J591)</f>
        <v>604.8</v>
      </c>
      <c r="L591" s="21" t="n">
        <f aca="false">G591*I591</f>
        <v>378</v>
      </c>
      <c r="M591" s="21" t="n">
        <f aca="false">K591-L591</f>
        <v>226.8</v>
      </c>
      <c r="N591" s="11" t="str">
        <f aca="false">TEXT(B591,"mmm")</f>
        <v>Jun</v>
      </c>
    </row>
    <row r="592" customFormat="false" ht="15" hidden="false" customHeight="false" outlineLevel="0" collapsed="false">
      <c r="A592" s="11" t="s">
        <v>653</v>
      </c>
      <c r="B592" s="20" t="n">
        <v>45823</v>
      </c>
      <c r="C592" s="11" t="s">
        <v>20</v>
      </c>
      <c r="D592" s="11" t="s">
        <v>33</v>
      </c>
      <c r="E592" s="11" t="s">
        <v>51</v>
      </c>
      <c r="F592" s="11" t="s">
        <v>44</v>
      </c>
      <c r="G592" s="11" t="n">
        <v>2</v>
      </c>
      <c r="H592" s="21" t="n">
        <v>90</v>
      </c>
      <c r="I592" s="21" t="n">
        <v>58</v>
      </c>
      <c r="J592" s="22" t="n">
        <v>0.05</v>
      </c>
      <c r="K592" s="21" t="n">
        <f aca="false">G592*H592*(1-J592)</f>
        <v>171</v>
      </c>
      <c r="L592" s="21" t="n">
        <f aca="false">G592*I592</f>
        <v>116</v>
      </c>
      <c r="M592" s="21" t="n">
        <f aca="false">K592-L592</f>
        <v>55</v>
      </c>
      <c r="N592" s="11" t="str">
        <f aca="false">TEXT(B592,"mmm")</f>
        <v>Jun</v>
      </c>
    </row>
    <row r="593" customFormat="false" ht="15" hidden="false" customHeight="false" outlineLevel="0" collapsed="false">
      <c r="A593" s="11" t="s">
        <v>654</v>
      </c>
      <c r="B593" s="20" t="n">
        <v>45823</v>
      </c>
      <c r="C593" s="11" t="s">
        <v>24</v>
      </c>
      <c r="D593" s="11" t="s">
        <v>37</v>
      </c>
      <c r="E593" s="11" t="s">
        <v>52</v>
      </c>
      <c r="F593" s="11" t="s">
        <v>44</v>
      </c>
      <c r="G593" s="11" t="n">
        <v>13</v>
      </c>
      <c r="H593" s="21" t="n">
        <v>12</v>
      </c>
      <c r="I593" s="21" t="n">
        <v>6</v>
      </c>
      <c r="J593" s="22" t="n">
        <v>0</v>
      </c>
      <c r="K593" s="21" t="n">
        <f aca="false">G593*H593*(1-J593)</f>
        <v>156</v>
      </c>
      <c r="L593" s="21" t="n">
        <f aca="false">G593*I593</f>
        <v>78</v>
      </c>
      <c r="M593" s="21" t="n">
        <f aca="false">K593-L593</f>
        <v>78</v>
      </c>
      <c r="N593" s="11" t="str">
        <f aca="false">TEXT(B593,"mmm")</f>
        <v>Jun</v>
      </c>
    </row>
    <row r="594" customFormat="false" ht="15" hidden="false" customHeight="false" outlineLevel="0" collapsed="false">
      <c r="A594" s="11" t="s">
        <v>655</v>
      </c>
      <c r="B594" s="20" t="n">
        <v>45824</v>
      </c>
      <c r="C594" s="11" t="s">
        <v>22</v>
      </c>
      <c r="D594" s="11" t="s">
        <v>37</v>
      </c>
      <c r="E594" s="11" t="s">
        <v>49</v>
      </c>
      <c r="F594" s="11" t="s">
        <v>44</v>
      </c>
      <c r="G594" s="11" t="n">
        <v>12</v>
      </c>
      <c r="H594" s="21" t="n">
        <v>28</v>
      </c>
      <c r="I594" s="21" t="n">
        <v>17</v>
      </c>
      <c r="J594" s="22" t="n">
        <v>0.05</v>
      </c>
      <c r="K594" s="21" t="n">
        <f aca="false">G594*H594*(1-J594)</f>
        <v>319.2</v>
      </c>
      <c r="L594" s="21" t="n">
        <f aca="false">G594*I594</f>
        <v>204</v>
      </c>
      <c r="M594" s="21" t="n">
        <f aca="false">K594-L594</f>
        <v>115.2</v>
      </c>
      <c r="N594" s="11" t="str">
        <f aca="false">TEXT(B594,"mmm")</f>
        <v>Jun</v>
      </c>
    </row>
    <row r="595" customFormat="false" ht="15" hidden="false" customHeight="false" outlineLevel="0" collapsed="false">
      <c r="A595" s="11" t="s">
        <v>656</v>
      </c>
      <c r="B595" s="20" t="n">
        <v>45824</v>
      </c>
      <c r="C595" s="11" t="s">
        <v>24</v>
      </c>
      <c r="D595" s="11" t="s">
        <v>37</v>
      </c>
      <c r="E595" s="11" t="s">
        <v>49</v>
      </c>
      <c r="F595" s="11" t="s">
        <v>42</v>
      </c>
      <c r="G595" s="11" t="n">
        <v>25</v>
      </c>
      <c r="H595" s="21" t="n">
        <v>28</v>
      </c>
      <c r="I595" s="21" t="n">
        <v>17</v>
      </c>
      <c r="J595" s="22" t="n">
        <v>0</v>
      </c>
      <c r="K595" s="21" t="n">
        <f aca="false">G595*H595*(1-J595)</f>
        <v>700</v>
      </c>
      <c r="L595" s="21" t="n">
        <f aca="false">G595*I595</f>
        <v>425</v>
      </c>
      <c r="M595" s="21" t="n">
        <f aca="false">K595-L595</f>
        <v>275</v>
      </c>
      <c r="N595" s="11" t="str">
        <f aca="false">TEXT(B595,"mmm")</f>
        <v>Jun</v>
      </c>
    </row>
    <row r="596" customFormat="false" ht="15" hidden="false" customHeight="false" outlineLevel="0" collapsed="false">
      <c r="A596" s="11" t="s">
        <v>657</v>
      </c>
      <c r="B596" s="20" t="n">
        <v>45824</v>
      </c>
      <c r="C596" s="11" t="s">
        <v>20</v>
      </c>
      <c r="D596" s="11" t="s">
        <v>37</v>
      </c>
      <c r="E596" s="11" t="s">
        <v>49</v>
      </c>
      <c r="F596" s="11" t="s">
        <v>45</v>
      </c>
      <c r="G596" s="11" t="n">
        <v>93</v>
      </c>
      <c r="H596" s="21" t="n">
        <v>28</v>
      </c>
      <c r="I596" s="21" t="n">
        <v>17</v>
      </c>
      <c r="J596" s="22" t="n">
        <v>0.2</v>
      </c>
      <c r="K596" s="21" t="n">
        <f aca="false">G596*H596*(1-J596)</f>
        <v>2083.2</v>
      </c>
      <c r="L596" s="21" t="n">
        <f aca="false">G596*I596</f>
        <v>1581</v>
      </c>
      <c r="M596" s="21" t="n">
        <f aca="false">K596-L596</f>
        <v>502.2</v>
      </c>
      <c r="N596" s="11" t="str">
        <f aca="false">TEXT(B596,"mmm")</f>
        <v>Jun</v>
      </c>
    </row>
    <row r="597" customFormat="false" ht="15" hidden="false" customHeight="false" outlineLevel="0" collapsed="false">
      <c r="A597" s="11" t="s">
        <v>658</v>
      </c>
      <c r="B597" s="20" t="n">
        <v>45825</v>
      </c>
      <c r="C597" s="11" t="s">
        <v>24</v>
      </c>
      <c r="D597" s="11" t="s">
        <v>33</v>
      </c>
      <c r="E597" s="11" t="s">
        <v>51</v>
      </c>
      <c r="F597" s="11" t="s">
        <v>45</v>
      </c>
      <c r="G597" s="11" t="n">
        <v>12</v>
      </c>
      <c r="H597" s="21" t="n">
        <v>90</v>
      </c>
      <c r="I597" s="21" t="n">
        <v>58</v>
      </c>
      <c r="J597" s="22" t="n">
        <v>0.2</v>
      </c>
      <c r="K597" s="21" t="n">
        <f aca="false">G597*H597*(1-J597)</f>
        <v>864</v>
      </c>
      <c r="L597" s="21" t="n">
        <f aca="false">G597*I597</f>
        <v>696</v>
      </c>
      <c r="M597" s="21" t="n">
        <f aca="false">K597-L597</f>
        <v>168</v>
      </c>
      <c r="N597" s="11" t="str">
        <f aca="false">TEXT(B597,"mmm")</f>
        <v>Jun</v>
      </c>
    </row>
    <row r="598" customFormat="false" ht="15" hidden="false" customHeight="false" outlineLevel="0" collapsed="false">
      <c r="A598" s="11" t="s">
        <v>659</v>
      </c>
      <c r="B598" s="20" t="n">
        <v>45825</v>
      </c>
      <c r="C598" s="11" t="s">
        <v>18</v>
      </c>
      <c r="D598" s="11" t="s">
        <v>37</v>
      </c>
      <c r="E598" s="11" t="s">
        <v>49</v>
      </c>
      <c r="F598" s="11" t="s">
        <v>44</v>
      </c>
      <c r="G598" s="11" t="n">
        <v>5</v>
      </c>
      <c r="H598" s="21" t="n">
        <v>28</v>
      </c>
      <c r="I598" s="21" t="n">
        <v>17</v>
      </c>
      <c r="J598" s="22" t="n">
        <v>0</v>
      </c>
      <c r="K598" s="21" t="n">
        <f aca="false">G598*H598*(1-J598)</f>
        <v>140</v>
      </c>
      <c r="L598" s="21" t="n">
        <f aca="false">G598*I598</f>
        <v>85</v>
      </c>
      <c r="M598" s="21" t="n">
        <f aca="false">K598-L598</f>
        <v>55</v>
      </c>
      <c r="N598" s="11" t="str">
        <f aca="false">TEXT(B598,"mmm")</f>
        <v>Jun</v>
      </c>
    </row>
    <row r="599" customFormat="false" ht="15" hidden="false" customHeight="false" outlineLevel="0" collapsed="false">
      <c r="A599" s="11" t="s">
        <v>660</v>
      </c>
      <c r="B599" s="20" t="n">
        <v>45826</v>
      </c>
      <c r="C599" s="11" t="s">
        <v>18</v>
      </c>
      <c r="D599" s="11" t="s">
        <v>33</v>
      </c>
      <c r="E599" s="11" t="s">
        <v>51</v>
      </c>
      <c r="F599" s="11" t="s">
        <v>44</v>
      </c>
      <c r="G599" s="11" t="n">
        <v>6</v>
      </c>
      <c r="H599" s="21" t="n">
        <v>90</v>
      </c>
      <c r="I599" s="21" t="n">
        <v>58</v>
      </c>
      <c r="J599" s="22" t="n">
        <v>0.05</v>
      </c>
      <c r="K599" s="21" t="n">
        <f aca="false">G599*H599*(1-J599)</f>
        <v>513</v>
      </c>
      <c r="L599" s="21" t="n">
        <f aca="false">G599*I599</f>
        <v>348</v>
      </c>
      <c r="M599" s="21" t="n">
        <f aca="false">K599-L599</f>
        <v>165</v>
      </c>
      <c r="N599" s="11" t="str">
        <f aca="false">TEXT(B599,"mmm")</f>
        <v>Jun</v>
      </c>
    </row>
    <row r="600" customFormat="false" ht="15" hidden="false" customHeight="false" outlineLevel="0" collapsed="false">
      <c r="A600" s="11" t="s">
        <v>661</v>
      </c>
      <c r="B600" s="20" t="n">
        <v>45827</v>
      </c>
      <c r="C600" s="11" t="s">
        <v>18</v>
      </c>
      <c r="D600" s="11" t="s">
        <v>33</v>
      </c>
      <c r="E600" s="11" t="s">
        <v>51</v>
      </c>
      <c r="F600" s="11" t="s">
        <v>44</v>
      </c>
      <c r="G600" s="11" t="n">
        <v>1</v>
      </c>
      <c r="H600" s="21" t="n">
        <v>90</v>
      </c>
      <c r="I600" s="21" t="n">
        <v>58</v>
      </c>
      <c r="J600" s="22" t="n">
        <v>0.05</v>
      </c>
      <c r="K600" s="21" t="n">
        <f aca="false">G600*H600*(1-J600)</f>
        <v>85.5</v>
      </c>
      <c r="L600" s="21" t="n">
        <f aca="false">G600*I600</f>
        <v>58</v>
      </c>
      <c r="M600" s="21" t="n">
        <f aca="false">K600-L600</f>
        <v>27.5</v>
      </c>
      <c r="N600" s="11" t="str">
        <f aca="false">TEXT(B600,"mmm")</f>
        <v>Jun</v>
      </c>
    </row>
    <row r="601" customFormat="false" ht="15" hidden="false" customHeight="false" outlineLevel="0" collapsed="false">
      <c r="A601" s="11" t="s">
        <v>662</v>
      </c>
      <c r="B601" s="20" t="n">
        <v>45827</v>
      </c>
      <c r="C601" s="11" t="s">
        <v>20</v>
      </c>
      <c r="D601" s="11" t="s">
        <v>37</v>
      </c>
      <c r="E601" s="11" t="s">
        <v>53</v>
      </c>
      <c r="F601" s="11" t="s">
        <v>42</v>
      </c>
      <c r="G601" s="11" t="n">
        <v>16</v>
      </c>
      <c r="H601" s="21" t="n">
        <v>9</v>
      </c>
      <c r="I601" s="21" t="n">
        <v>4.5</v>
      </c>
      <c r="J601" s="22" t="n">
        <v>0</v>
      </c>
      <c r="K601" s="21" t="n">
        <f aca="false">G601*H601*(1-J601)</f>
        <v>144</v>
      </c>
      <c r="L601" s="21" t="n">
        <f aca="false">G601*I601</f>
        <v>72</v>
      </c>
      <c r="M601" s="21" t="n">
        <f aca="false">K601-L601</f>
        <v>72</v>
      </c>
      <c r="N601" s="11" t="str">
        <f aca="false">TEXT(B601,"mmm")</f>
        <v>Jun</v>
      </c>
    </row>
    <row r="602" customFormat="false" ht="15" hidden="false" customHeight="false" outlineLevel="0" collapsed="false">
      <c r="A602" s="11" t="s">
        <v>663</v>
      </c>
      <c r="B602" s="20" t="n">
        <v>45827</v>
      </c>
      <c r="C602" s="11" t="s">
        <v>22</v>
      </c>
      <c r="D602" s="11" t="s">
        <v>37</v>
      </c>
      <c r="E602" s="11" t="s">
        <v>53</v>
      </c>
      <c r="F602" s="11" t="s">
        <v>45</v>
      </c>
      <c r="G602" s="11" t="n">
        <v>111</v>
      </c>
      <c r="H602" s="21" t="n">
        <v>9</v>
      </c>
      <c r="I602" s="21" t="n">
        <v>4.5</v>
      </c>
      <c r="J602" s="22" t="n">
        <v>0.1</v>
      </c>
      <c r="K602" s="21" t="n">
        <f aca="false">G602*H602*(1-J602)</f>
        <v>899.1</v>
      </c>
      <c r="L602" s="21" t="n">
        <f aca="false">G602*I602</f>
        <v>499.5</v>
      </c>
      <c r="M602" s="21" t="n">
        <f aca="false">K602-L602</f>
        <v>399.6</v>
      </c>
      <c r="N602" s="11" t="str">
        <f aca="false">TEXT(B602,"mmm")</f>
        <v>Jun</v>
      </c>
    </row>
    <row r="603" customFormat="false" ht="15" hidden="false" customHeight="false" outlineLevel="0" collapsed="false">
      <c r="A603" s="11" t="s">
        <v>664</v>
      </c>
      <c r="B603" s="20" t="n">
        <v>45828</v>
      </c>
      <c r="C603" s="11" t="s">
        <v>24</v>
      </c>
      <c r="D603" s="11" t="s">
        <v>37</v>
      </c>
      <c r="E603" s="11" t="s">
        <v>53</v>
      </c>
      <c r="F603" s="11" t="s">
        <v>44</v>
      </c>
      <c r="G603" s="11" t="n">
        <v>1</v>
      </c>
      <c r="H603" s="21" t="n">
        <v>9</v>
      </c>
      <c r="I603" s="21" t="n">
        <v>4.5</v>
      </c>
      <c r="J603" s="22" t="n">
        <v>0.05</v>
      </c>
      <c r="K603" s="21" t="n">
        <f aca="false">G603*H603*(1-J603)</f>
        <v>8.55</v>
      </c>
      <c r="L603" s="21" t="n">
        <f aca="false">G603*I603</f>
        <v>4.5</v>
      </c>
      <c r="M603" s="21" t="n">
        <f aca="false">K603-L603</f>
        <v>4.05</v>
      </c>
      <c r="N603" s="11" t="str">
        <f aca="false">TEXT(B603,"mmm")</f>
        <v>Jun</v>
      </c>
    </row>
    <row r="604" customFormat="false" ht="15" hidden="false" customHeight="false" outlineLevel="0" collapsed="false">
      <c r="A604" s="11" t="s">
        <v>665</v>
      </c>
      <c r="B604" s="20" t="n">
        <v>45828</v>
      </c>
      <c r="C604" s="11" t="s">
        <v>22</v>
      </c>
      <c r="D604" s="11" t="s">
        <v>33</v>
      </c>
      <c r="E604" s="11" t="s">
        <v>51</v>
      </c>
      <c r="F604" s="11" t="s">
        <v>45</v>
      </c>
      <c r="G604" s="11" t="n">
        <v>15</v>
      </c>
      <c r="H604" s="21" t="n">
        <v>90</v>
      </c>
      <c r="I604" s="21" t="n">
        <v>58</v>
      </c>
      <c r="J604" s="22" t="n">
        <v>0.2</v>
      </c>
      <c r="K604" s="21" t="n">
        <f aca="false">G604*H604*(1-J604)</f>
        <v>1080</v>
      </c>
      <c r="L604" s="21" t="n">
        <f aca="false">G604*I604</f>
        <v>870</v>
      </c>
      <c r="M604" s="21" t="n">
        <f aca="false">K604-L604</f>
        <v>210</v>
      </c>
      <c r="N604" s="11" t="str">
        <f aca="false">TEXT(B604,"mmm")</f>
        <v>Jun</v>
      </c>
    </row>
    <row r="605" customFormat="false" ht="15" hidden="false" customHeight="false" outlineLevel="0" collapsed="false">
      <c r="A605" s="11" t="s">
        <v>666</v>
      </c>
      <c r="B605" s="20" t="n">
        <v>45828</v>
      </c>
      <c r="C605" s="11" t="s">
        <v>24</v>
      </c>
      <c r="D605" s="11" t="s">
        <v>33</v>
      </c>
      <c r="E605" s="11" t="s">
        <v>51</v>
      </c>
      <c r="F605" s="11" t="s">
        <v>44</v>
      </c>
      <c r="G605" s="11" t="n">
        <v>3</v>
      </c>
      <c r="H605" s="21" t="n">
        <v>90</v>
      </c>
      <c r="I605" s="21" t="n">
        <v>58</v>
      </c>
      <c r="J605" s="22" t="n">
        <v>0.1</v>
      </c>
      <c r="K605" s="21" t="n">
        <f aca="false">G605*H605*(1-J605)</f>
        <v>243</v>
      </c>
      <c r="L605" s="21" t="n">
        <f aca="false">G605*I605</f>
        <v>174</v>
      </c>
      <c r="M605" s="21" t="n">
        <f aca="false">K605-L605</f>
        <v>69</v>
      </c>
      <c r="N605" s="11" t="str">
        <f aca="false">TEXT(B605,"mmm")</f>
        <v>Jun</v>
      </c>
    </row>
    <row r="606" customFormat="false" ht="15" hidden="false" customHeight="false" outlineLevel="0" collapsed="false">
      <c r="A606" s="11" t="s">
        <v>667</v>
      </c>
      <c r="B606" s="20" t="n">
        <v>45828</v>
      </c>
      <c r="C606" s="11" t="s">
        <v>24</v>
      </c>
      <c r="D606" s="11" t="s">
        <v>37</v>
      </c>
      <c r="E606" s="11" t="s">
        <v>53</v>
      </c>
      <c r="F606" s="11" t="s">
        <v>44</v>
      </c>
      <c r="G606" s="11" t="n">
        <v>30</v>
      </c>
      <c r="H606" s="21" t="n">
        <v>9</v>
      </c>
      <c r="I606" s="21" t="n">
        <v>4.5</v>
      </c>
      <c r="J606" s="22" t="n">
        <v>0.1</v>
      </c>
      <c r="K606" s="21" t="n">
        <f aca="false">G606*H606*(1-J606)</f>
        <v>243</v>
      </c>
      <c r="L606" s="21" t="n">
        <f aca="false">G606*I606</f>
        <v>135</v>
      </c>
      <c r="M606" s="21" t="n">
        <f aca="false">K606-L606</f>
        <v>108</v>
      </c>
      <c r="N606" s="11" t="str">
        <f aca="false">TEXT(B606,"mmm")</f>
        <v>Jun</v>
      </c>
    </row>
    <row r="607" customFormat="false" ht="15" hidden="false" customHeight="false" outlineLevel="0" collapsed="false">
      <c r="A607" s="11" t="s">
        <v>668</v>
      </c>
      <c r="B607" s="20" t="n">
        <v>45828</v>
      </c>
      <c r="C607" s="11" t="s">
        <v>18</v>
      </c>
      <c r="D607" s="11" t="s">
        <v>33</v>
      </c>
      <c r="E607" s="11" t="s">
        <v>51</v>
      </c>
      <c r="F607" s="11" t="s">
        <v>44</v>
      </c>
      <c r="G607" s="11" t="n">
        <v>3</v>
      </c>
      <c r="H607" s="21" t="n">
        <v>90</v>
      </c>
      <c r="I607" s="21" t="n">
        <v>58</v>
      </c>
      <c r="J607" s="22" t="n">
        <v>0.05</v>
      </c>
      <c r="K607" s="21" t="n">
        <f aca="false">G607*H607*(1-J607)</f>
        <v>256.5</v>
      </c>
      <c r="L607" s="21" t="n">
        <f aca="false">G607*I607</f>
        <v>174</v>
      </c>
      <c r="M607" s="21" t="n">
        <f aca="false">K607-L607</f>
        <v>82.5</v>
      </c>
      <c r="N607" s="11" t="str">
        <f aca="false">TEXT(B607,"mmm")</f>
        <v>Jun</v>
      </c>
    </row>
    <row r="608" customFormat="false" ht="15" hidden="false" customHeight="false" outlineLevel="0" collapsed="false">
      <c r="A608" s="11" t="s">
        <v>669</v>
      </c>
      <c r="B608" s="20" t="n">
        <v>45828</v>
      </c>
      <c r="C608" s="11" t="s">
        <v>18</v>
      </c>
      <c r="D608" s="11" t="s">
        <v>35</v>
      </c>
      <c r="E608" s="11" t="s">
        <v>56</v>
      </c>
      <c r="F608" s="11" t="s">
        <v>42</v>
      </c>
      <c r="G608" s="11" t="n">
        <v>1</v>
      </c>
      <c r="H608" s="21" t="n">
        <v>110</v>
      </c>
      <c r="I608" s="21" t="n">
        <v>62</v>
      </c>
      <c r="J608" s="22" t="n">
        <v>0.05</v>
      </c>
      <c r="K608" s="21" t="n">
        <f aca="false">G608*H608*(1-J608)</f>
        <v>104.5</v>
      </c>
      <c r="L608" s="21" t="n">
        <f aca="false">G608*I608</f>
        <v>62</v>
      </c>
      <c r="M608" s="21" t="n">
        <f aca="false">K608-L608</f>
        <v>42.5</v>
      </c>
      <c r="N608" s="11" t="str">
        <f aca="false">TEXT(B608,"mmm")</f>
        <v>Jun</v>
      </c>
    </row>
    <row r="609" customFormat="false" ht="15" hidden="false" customHeight="false" outlineLevel="0" collapsed="false">
      <c r="A609" s="11" t="s">
        <v>670</v>
      </c>
      <c r="B609" s="20" t="n">
        <v>45828</v>
      </c>
      <c r="C609" s="11" t="s">
        <v>18</v>
      </c>
      <c r="D609" s="11" t="s">
        <v>33</v>
      </c>
      <c r="E609" s="11" t="s">
        <v>48</v>
      </c>
      <c r="F609" s="11" t="s">
        <v>42</v>
      </c>
      <c r="G609" s="11" t="n">
        <v>2</v>
      </c>
      <c r="H609" s="21" t="n">
        <v>520</v>
      </c>
      <c r="I609" s="21" t="n">
        <v>415</v>
      </c>
      <c r="J609" s="22" t="n">
        <v>0.05</v>
      </c>
      <c r="K609" s="21" t="n">
        <f aca="false">G609*H609*(1-J609)</f>
        <v>988</v>
      </c>
      <c r="L609" s="21" t="n">
        <f aca="false">G609*I609</f>
        <v>830</v>
      </c>
      <c r="M609" s="21" t="n">
        <f aca="false">K609-L609</f>
        <v>158</v>
      </c>
      <c r="N609" s="11" t="str">
        <f aca="false">TEXT(B609,"mmm")</f>
        <v>Jun</v>
      </c>
    </row>
    <row r="610" customFormat="false" ht="15" hidden="false" customHeight="false" outlineLevel="0" collapsed="false">
      <c r="A610" s="11" t="s">
        <v>671</v>
      </c>
      <c r="B610" s="20" t="n">
        <v>45829</v>
      </c>
      <c r="C610" s="11" t="s">
        <v>18</v>
      </c>
      <c r="D610" s="11" t="s">
        <v>37</v>
      </c>
      <c r="E610" s="11" t="s">
        <v>49</v>
      </c>
      <c r="F610" s="11" t="s">
        <v>45</v>
      </c>
      <c r="G610" s="11" t="n">
        <v>60</v>
      </c>
      <c r="H610" s="21" t="n">
        <v>28</v>
      </c>
      <c r="I610" s="21" t="n">
        <v>17</v>
      </c>
      <c r="J610" s="22" t="n">
        <v>0.15</v>
      </c>
      <c r="K610" s="21" t="n">
        <f aca="false">G610*H610*(1-J610)</f>
        <v>1428</v>
      </c>
      <c r="L610" s="21" t="n">
        <f aca="false">G610*I610</f>
        <v>1020</v>
      </c>
      <c r="M610" s="21" t="n">
        <f aca="false">K610-L610</f>
        <v>408</v>
      </c>
      <c r="N610" s="11" t="str">
        <f aca="false">TEXT(B610,"mmm")</f>
        <v>Jun</v>
      </c>
    </row>
    <row r="611" customFormat="false" ht="15" hidden="false" customHeight="false" outlineLevel="0" collapsed="false">
      <c r="A611" s="11" t="s">
        <v>672</v>
      </c>
      <c r="B611" s="20" t="n">
        <v>45829</v>
      </c>
      <c r="C611" s="11" t="s">
        <v>20</v>
      </c>
      <c r="D611" s="11" t="s">
        <v>33</v>
      </c>
      <c r="E611" s="11" t="s">
        <v>51</v>
      </c>
      <c r="F611" s="11" t="s">
        <v>44</v>
      </c>
      <c r="G611" s="11" t="n">
        <v>3</v>
      </c>
      <c r="H611" s="21" t="n">
        <v>90</v>
      </c>
      <c r="I611" s="21" t="n">
        <v>58</v>
      </c>
      <c r="J611" s="22" t="n">
        <v>0</v>
      </c>
      <c r="K611" s="21" t="n">
        <f aca="false">G611*H611*(1-J611)</f>
        <v>270</v>
      </c>
      <c r="L611" s="21" t="n">
        <f aca="false">G611*I611</f>
        <v>174</v>
      </c>
      <c r="M611" s="21" t="n">
        <f aca="false">K611-L611</f>
        <v>96</v>
      </c>
      <c r="N611" s="11" t="str">
        <f aca="false">TEXT(B611,"mmm")</f>
        <v>Jun</v>
      </c>
    </row>
    <row r="612" customFormat="false" ht="15" hidden="false" customHeight="false" outlineLevel="0" collapsed="false">
      <c r="A612" s="11" t="s">
        <v>673</v>
      </c>
      <c r="B612" s="20" t="n">
        <v>45830</v>
      </c>
      <c r="C612" s="11" t="s">
        <v>20</v>
      </c>
      <c r="D612" s="11" t="s">
        <v>37</v>
      </c>
      <c r="E612" s="11" t="s">
        <v>49</v>
      </c>
      <c r="F612" s="11" t="s">
        <v>45</v>
      </c>
      <c r="G612" s="11" t="n">
        <v>117</v>
      </c>
      <c r="H612" s="21" t="n">
        <v>28</v>
      </c>
      <c r="I612" s="21" t="n">
        <v>17</v>
      </c>
      <c r="J612" s="22" t="n">
        <v>0.1</v>
      </c>
      <c r="K612" s="21" t="n">
        <f aca="false">G612*H612*(1-J612)</f>
        <v>2948.4</v>
      </c>
      <c r="L612" s="21" t="n">
        <f aca="false">G612*I612</f>
        <v>1989</v>
      </c>
      <c r="M612" s="21" t="n">
        <f aca="false">K612-L612</f>
        <v>959.4</v>
      </c>
      <c r="N612" s="11" t="str">
        <f aca="false">TEXT(B612,"mmm")</f>
        <v>Jun</v>
      </c>
    </row>
    <row r="613" customFormat="false" ht="15" hidden="false" customHeight="false" outlineLevel="0" collapsed="false">
      <c r="A613" s="11" t="s">
        <v>674</v>
      </c>
      <c r="B613" s="20" t="n">
        <v>45830</v>
      </c>
      <c r="C613" s="11" t="s">
        <v>20</v>
      </c>
      <c r="D613" s="11" t="s">
        <v>33</v>
      </c>
      <c r="E613" s="11" t="s">
        <v>48</v>
      </c>
      <c r="F613" s="11" t="s">
        <v>44</v>
      </c>
      <c r="G613" s="11" t="n">
        <v>1</v>
      </c>
      <c r="H613" s="21" t="n">
        <v>520</v>
      </c>
      <c r="I613" s="21" t="n">
        <v>415</v>
      </c>
      <c r="J613" s="22" t="n">
        <v>0</v>
      </c>
      <c r="K613" s="21" t="n">
        <f aca="false">G613*H613*(1-J613)</f>
        <v>520</v>
      </c>
      <c r="L613" s="21" t="n">
        <f aca="false">G613*I613</f>
        <v>415</v>
      </c>
      <c r="M613" s="21" t="n">
        <f aca="false">K613-L613</f>
        <v>105</v>
      </c>
      <c r="N613" s="11" t="str">
        <f aca="false">TEXT(B613,"mmm")</f>
        <v>Jun</v>
      </c>
    </row>
    <row r="614" customFormat="false" ht="15" hidden="false" customHeight="false" outlineLevel="0" collapsed="false">
      <c r="A614" s="11" t="s">
        <v>675</v>
      </c>
      <c r="B614" s="20" t="n">
        <v>45830</v>
      </c>
      <c r="C614" s="11" t="s">
        <v>24</v>
      </c>
      <c r="D614" s="11" t="s">
        <v>37</v>
      </c>
      <c r="E614" s="11" t="s">
        <v>52</v>
      </c>
      <c r="F614" s="11" t="s">
        <v>42</v>
      </c>
      <c r="G614" s="11" t="n">
        <v>28</v>
      </c>
      <c r="H614" s="21" t="n">
        <v>12</v>
      </c>
      <c r="I614" s="21" t="n">
        <v>6</v>
      </c>
      <c r="J614" s="22" t="n">
        <v>0.05</v>
      </c>
      <c r="K614" s="21" t="n">
        <f aca="false">G614*H614*(1-J614)</f>
        <v>319.2</v>
      </c>
      <c r="L614" s="21" t="n">
        <f aca="false">G614*I614</f>
        <v>168</v>
      </c>
      <c r="M614" s="21" t="n">
        <f aca="false">K614-L614</f>
        <v>151.2</v>
      </c>
      <c r="N614" s="11" t="str">
        <f aca="false">TEXT(B614,"mmm")</f>
        <v>Jun</v>
      </c>
    </row>
    <row r="615" customFormat="false" ht="15" hidden="false" customHeight="false" outlineLevel="0" collapsed="false">
      <c r="A615" s="11" t="s">
        <v>676</v>
      </c>
      <c r="B615" s="20" t="n">
        <v>45830</v>
      </c>
      <c r="C615" s="11" t="s">
        <v>20</v>
      </c>
      <c r="D615" s="11" t="s">
        <v>35</v>
      </c>
      <c r="E615" s="11" t="s">
        <v>55</v>
      </c>
      <c r="F615" s="11" t="s">
        <v>42</v>
      </c>
      <c r="G615" s="11" t="n">
        <v>4</v>
      </c>
      <c r="H615" s="21" t="n">
        <v>150</v>
      </c>
      <c r="I615" s="21" t="n">
        <v>82</v>
      </c>
      <c r="J615" s="22" t="n">
        <v>0.1</v>
      </c>
      <c r="K615" s="21" t="n">
        <f aca="false">G615*H615*(1-J615)</f>
        <v>540</v>
      </c>
      <c r="L615" s="21" t="n">
        <f aca="false">G615*I615</f>
        <v>328</v>
      </c>
      <c r="M615" s="21" t="n">
        <f aca="false">K615-L615</f>
        <v>212</v>
      </c>
      <c r="N615" s="11" t="str">
        <f aca="false">TEXT(B615,"mmm")</f>
        <v>Jun</v>
      </c>
    </row>
    <row r="616" customFormat="false" ht="15" hidden="false" customHeight="false" outlineLevel="0" collapsed="false">
      <c r="A616" s="11" t="s">
        <v>677</v>
      </c>
      <c r="B616" s="20" t="n">
        <v>45830</v>
      </c>
      <c r="C616" s="11" t="s">
        <v>18</v>
      </c>
      <c r="D616" s="11" t="s">
        <v>37</v>
      </c>
      <c r="E616" s="11" t="s">
        <v>52</v>
      </c>
      <c r="F616" s="11" t="s">
        <v>42</v>
      </c>
      <c r="G616" s="11" t="n">
        <v>10</v>
      </c>
      <c r="H616" s="21" t="n">
        <v>12</v>
      </c>
      <c r="I616" s="21" t="n">
        <v>6</v>
      </c>
      <c r="J616" s="22" t="n">
        <v>0.05</v>
      </c>
      <c r="K616" s="21" t="n">
        <f aca="false">G616*H616*(1-J616)</f>
        <v>114</v>
      </c>
      <c r="L616" s="21" t="n">
        <f aca="false">G616*I616</f>
        <v>60</v>
      </c>
      <c r="M616" s="21" t="n">
        <f aca="false">K616-L616</f>
        <v>54</v>
      </c>
      <c r="N616" s="11" t="str">
        <f aca="false">TEXT(B616,"mmm")</f>
        <v>Jun</v>
      </c>
    </row>
    <row r="617" customFormat="false" ht="15" hidden="false" customHeight="false" outlineLevel="0" collapsed="false">
      <c r="A617" s="11" t="s">
        <v>678</v>
      </c>
      <c r="B617" s="20" t="n">
        <v>45830</v>
      </c>
      <c r="C617" s="11" t="s">
        <v>22</v>
      </c>
      <c r="D617" s="11" t="s">
        <v>35</v>
      </c>
      <c r="E617" s="11" t="s">
        <v>56</v>
      </c>
      <c r="F617" s="11" t="s">
        <v>42</v>
      </c>
      <c r="G617" s="11" t="n">
        <v>3</v>
      </c>
      <c r="H617" s="21" t="n">
        <v>110</v>
      </c>
      <c r="I617" s="21" t="n">
        <v>62</v>
      </c>
      <c r="J617" s="22" t="n">
        <v>0.15</v>
      </c>
      <c r="K617" s="21" t="n">
        <f aca="false">G617*H617*(1-J617)</f>
        <v>280.5</v>
      </c>
      <c r="L617" s="21" t="n">
        <f aca="false">G617*I617</f>
        <v>186</v>
      </c>
      <c r="M617" s="21" t="n">
        <f aca="false">K617-L617</f>
        <v>94.5</v>
      </c>
      <c r="N617" s="11" t="str">
        <f aca="false">TEXT(B617,"mmm")</f>
        <v>Jun</v>
      </c>
    </row>
    <row r="618" customFormat="false" ht="15" hidden="false" customHeight="false" outlineLevel="0" collapsed="false">
      <c r="A618" s="11" t="s">
        <v>679</v>
      </c>
      <c r="B618" s="20" t="n">
        <v>45830</v>
      </c>
      <c r="C618" s="11" t="s">
        <v>22</v>
      </c>
      <c r="D618" s="11" t="s">
        <v>35</v>
      </c>
      <c r="E618" s="11" t="s">
        <v>56</v>
      </c>
      <c r="F618" s="11" t="s">
        <v>42</v>
      </c>
      <c r="G618" s="11" t="n">
        <v>2</v>
      </c>
      <c r="H618" s="21" t="n">
        <v>110</v>
      </c>
      <c r="I618" s="21" t="n">
        <v>62</v>
      </c>
      <c r="J618" s="22" t="n">
        <v>0.1</v>
      </c>
      <c r="K618" s="21" t="n">
        <f aca="false">G618*H618*(1-J618)</f>
        <v>198</v>
      </c>
      <c r="L618" s="21" t="n">
        <f aca="false">G618*I618</f>
        <v>124</v>
      </c>
      <c r="M618" s="21" t="n">
        <f aca="false">K618-L618</f>
        <v>74</v>
      </c>
      <c r="N618" s="11" t="str">
        <f aca="false">TEXT(B618,"mmm")</f>
        <v>Jun</v>
      </c>
    </row>
    <row r="619" customFormat="false" ht="15" hidden="false" customHeight="false" outlineLevel="0" collapsed="false">
      <c r="A619" s="11" t="s">
        <v>680</v>
      </c>
      <c r="B619" s="20" t="n">
        <v>45830</v>
      </c>
      <c r="C619" s="11" t="s">
        <v>18</v>
      </c>
      <c r="D619" s="11" t="s">
        <v>37</v>
      </c>
      <c r="E619" s="11" t="s">
        <v>49</v>
      </c>
      <c r="F619" s="11" t="s">
        <v>44</v>
      </c>
      <c r="G619" s="11" t="n">
        <v>15</v>
      </c>
      <c r="H619" s="21" t="n">
        <v>28</v>
      </c>
      <c r="I619" s="21" t="n">
        <v>17</v>
      </c>
      <c r="J619" s="22" t="n">
        <v>0</v>
      </c>
      <c r="K619" s="21" t="n">
        <f aca="false">G619*H619*(1-J619)</f>
        <v>420</v>
      </c>
      <c r="L619" s="21" t="n">
        <f aca="false">G619*I619</f>
        <v>255</v>
      </c>
      <c r="M619" s="21" t="n">
        <f aca="false">K619-L619</f>
        <v>165</v>
      </c>
      <c r="N619" s="11" t="str">
        <f aca="false">TEXT(B619,"mmm")</f>
        <v>Jun</v>
      </c>
    </row>
    <row r="620" customFormat="false" ht="15" hidden="false" customHeight="false" outlineLevel="0" collapsed="false">
      <c r="A620" s="11" t="s">
        <v>681</v>
      </c>
      <c r="B620" s="20" t="n">
        <v>45830</v>
      </c>
      <c r="C620" s="11" t="s">
        <v>24</v>
      </c>
      <c r="D620" s="11" t="s">
        <v>37</v>
      </c>
      <c r="E620" s="11" t="s">
        <v>53</v>
      </c>
      <c r="F620" s="11" t="s">
        <v>42</v>
      </c>
      <c r="G620" s="11" t="n">
        <v>28</v>
      </c>
      <c r="H620" s="21" t="n">
        <v>9</v>
      </c>
      <c r="I620" s="21" t="n">
        <v>4.5</v>
      </c>
      <c r="J620" s="22" t="n">
        <v>0.1</v>
      </c>
      <c r="K620" s="21" t="n">
        <f aca="false">G620*H620*(1-J620)</f>
        <v>226.8</v>
      </c>
      <c r="L620" s="21" t="n">
        <f aca="false">G620*I620</f>
        <v>126</v>
      </c>
      <c r="M620" s="21" t="n">
        <f aca="false">K620-L620</f>
        <v>100.8</v>
      </c>
      <c r="N620" s="11" t="str">
        <f aca="false">TEXT(B620,"mmm")</f>
        <v>Jun</v>
      </c>
    </row>
    <row r="621" customFormat="false" ht="15" hidden="false" customHeight="false" outlineLevel="0" collapsed="false">
      <c r="A621" s="11" t="s">
        <v>682</v>
      </c>
      <c r="B621" s="20" t="n">
        <v>45830</v>
      </c>
      <c r="C621" s="11" t="s">
        <v>20</v>
      </c>
      <c r="D621" s="11" t="s">
        <v>37</v>
      </c>
      <c r="E621" s="11" t="s">
        <v>49</v>
      </c>
      <c r="F621" s="11" t="s">
        <v>45</v>
      </c>
      <c r="G621" s="11" t="n">
        <v>30</v>
      </c>
      <c r="H621" s="21" t="n">
        <v>28</v>
      </c>
      <c r="I621" s="21" t="n">
        <v>17</v>
      </c>
      <c r="J621" s="22" t="n">
        <v>0.15</v>
      </c>
      <c r="K621" s="21" t="n">
        <f aca="false">G621*H621*(1-J621)</f>
        <v>714</v>
      </c>
      <c r="L621" s="21" t="n">
        <f aca="false">G621*I621</f>
        <v>510</v>
      </c>
      <c r="M621" s="21" t="n">
        <f aca="false">K621-L621</f>
        <v>204</v>
      </c>
      <c r="N621" s="11" t="str">
        <f aca="false">TEXT(B621,"mmm")</f>
        <v>Jun</v>
      </c>
    </row>
    <row r="622" customFormat="false" ht="15" hidden="false" customHeight="false" outlineLevel="0" collapsed="false">
      <c r="A622" s="11" t="s">
        <v>683</v>
      </c>
      <c r="B622" s="20" t="n">
        <v>45831</v>
      </c>
      <c r="C622" s="11" t="s">
        <v>22</v>
      </c>
      <c r="D622" s="11" t="s">
        <v>37</v>
      </c>
      <c r="E622" s="11" t="s">
        <v>52</v>
      </c>
      <c r="F622" s="11" t="s">
        <v>44</v>
      </c>
      <c r="G622" s="11" t="n">
        <v>37</v>
      </c>
      <c r="H622" s="21" t="n">
        <v>12</v>
      </c>
      <c r="I622" s="21" t="n">
        <v>6</v>
      </c>
      <c r="J622" s="22" t="n">
        <v>0</v>
      </c>
      <c r="K622" s="21" t="n">
        <f aca="false">G622*H622*(1-J622)</f>
        <v>444</v>
      </c>
      <c r="L622" s="21" t="n">
        <f aca="false">G622*I622</f>
        <v>222</v>
      </c>
      <c r="M622" s="21" t="n">
        <f aca="false">K622-L622</f>
        <v>222</v>
      </c>
      <c r="N622" s="11" t="str">
        <f aca="false">TEXT(B622,"mmm")</f>
        <v>Jun</v>
      </c>
    </row>
    <row r="623" customFormat="false" ht="15" hidden="false" customHeight="false" outlineLevel="0" collapsed="false">
      <c r="A623" s="11" t="s">
        <v>684</v>
      </c>
      <c r="B623" s="20" t="n">
        <v>45831</v>
      </c>
      <c r="C623" s="11" t="s">
        <v>22</v>
      </c>
      <c r="D623" s="11" t="s">
        <v>37</v>
      </c>
      <c r="E623" s="11" t="s">
        <v>53</v>
      </c>
      <c r="F623" s="11" t="s">
        <v>44</v>
      </c>
      <c r="G623" s="11" t="n">
        <v>29</v>
      </c>
      <c r="H623" s="21" t="n">
        <v>9</v>
      </c>
      <c r="I623" s="21" t="n">
        <v>4.5</v>
      </c>
      <c r="J623" s="22" t="n">
        <v>0.05</v>
      </c>
      <c r="K623" s="21" t="n">
        <f aca="false">G623*H623*(1-J623)</f>
        <v>247.95</v>
      </c>
      <c r="L623" s="21" t="n">
        <f aca="false">G623*I623</f>
        <v>130.5</v>
      </c>
      <c r="M623" s="21" t="n">
        <f aca="false">K623-L623</f>
        <v>117.45</v>
      </c>
      <c r="N623" s="11" t="str">
        <f aca="false">TEXT(B623,"mmm")</f>
        <v>Jun</v>
      </c>
    </row>
    <row r="624" customFormat="false" ht="15" hidden="false" customHeight="false" outlineLevel="0" collapsed="false">
      <c r="A624" s="11" t="s">
        <v>685</v>
      </c>
      <c r="B624" s="20" t="n">
        <v>45831</v>
      </c>
      <c r="C624" s="11" t="s">
        <v>24</v>
      </c>
      <c r="D624" s="11" t="s">
        <v>37</v>
      </c>
      <c r="E624" s="11" t="s">
        <v>49</v>
      </c>
      <c r="F624" s="11" t="s">
        <v>44</v>
      </c>
      <c r="G624" s="11" t="n">
        <v>8</v>
      </c>
      <c r="H624" s="21" t="n">
        <v>28</v>
      </c>
      <c r="I624" s="21" t="n">
        <v>17</v>
      </c>
      <c r="J624" s="22" t="n">
        <v>0.1</v>
      </c>
      <c r="K624" s="21" t="n">
        <f aca="false">G624*H624*(1-J624)</f>
        <v>201.6</v>
      </c>
      <c r="L624" s="21" t="n">
        <f aca="false">G624*I624</f>
        <v>136</v>
      </c>
      <c r="M624" s="21" t="n">
        <f aca="false">K624-L624</f>
        <v>65.6</v>
      </c>
      <c r="N624" s="11" t="str">
        <f aca="false">TEXT(B624,"mmm")</f>
        <v>Jun</v>
      </c>
    </row>
    <row r="625" customFormat="false" ht="15" hidden="false" customHeight="false" outlineLevel="0" collapsed="false">
      <c r="A625" s="11" t="s">
        <v>686</v>
      </c>
      <c r="B625" s="20" t="n">
        <v>45832</v>
      </c>
      <c r="C625" s="11" t="s">
        <v>22</v>
      </c>
      <c r="D625" s="11" t="s">
        <v>37</v>
      </c>
      <c r="E625" s="11" t="s">
        <v>53</v>
      </c>
      <c r="F625" s="11" t="s">
        <v>42</v>
      </c>
      <c r="G625" s="11" t="n">
        <v>31</v>
      </c>
      <c r="H625" s="21" t="n">
        <v>9</v>
      </c>
      <c r="I625" s="21" t="n">
        <v>4.5</v>
      </c>
      <c r="J625" s="22" t="n">
        <v>0.05</v>
      </c>
      <c r="K625" s="21" t="n">
        <f aca="false">G625*H625*(1-J625)</f>
        <v>265.05</v>
      </c>
      <c r="L625" s="21" t="n">
        <f aca="false">G625*I625</f>
        <v>139.5</v>
      </c>
      <c r="M625" s="21" t="n">
        <f aca="false">K625-L625</f>
        <v>125.55</v>
      </c>
      <c r="N625" s="11" t="str">
        <f aca="false">TEXT(B625,"mmm")</f>
        <v>Jun</v>
      </c>
    </row>
    <row r="626" customFormat="false" ht="15" hidden="false" customHeight="false" outlineLevel="0" collapsed="false">
      <c r="A626" s="11" t="s">
        <v>687</v>
      </c>
      <c r="B626" s="20" t="n">
        <v>45832</v>
      </c>
      <c r="C626" s="11" t="s">
        <v>18</v>
      </c>
      <c r="D626" s="11" t="s">
        <v>37</v>
      </c>
      <c r="E626" s="11" t="s">
        <v>49</v>
      </c>
      <c r="F626" s="11" t="s">
        <v>44</v>
      </c>
      <c r="G626" s="11" t="n">
        <v>21</v>
      </c>
      <c r="H626" s="21" t="n">
        <v>28</v>
      </c>
      <c r="I626" s="21" t="n">
        <v>17</v>
      </c>
      <c r="J626" s="22" t="n">
        <v>0.05</v>
      </c>
      <c r="K626" s="21" t="n">
        <f aca="false">G626*H626*(1-J626)</f>
        <v>558.6</v>
      </c>
      <c r="L626" s="21" t="n">
        <f aca="false">G626*I626</f>
        <v>357</v>
      </c>
      <c r="M626" s="21" t="n">
        <f aca="false">K626-L626</f>
        <v>201.6</v>
      </c>
      <c r="N626" s="11" t="str">
        <f aca="false">TEXT(B626,"mmm")</f>
        <v>Jun</v>
      </c>
    </row>
    <row r="627" customFormat="false" ht="15" hidden="false" customHeight="false" outlineLevel="0" collapsed="false">
      <c r="A627" s="11" t="s">
        <v>688</v>
      </c>
      <c r="B627" s="20" t="n">
        <v>45832</v>
      </c>
      <c r="C627" s="11" t="s">
        <v>22</v>
      </c>
      <c r="D627" s="11" t="s">
        <v>37</v>
      </c>
      <c r="E627" s="11" t="s">
        <v>49</v>
      </c>
      <c r="F627" s="11" t="s">
        <v>44</v>
      </c>
      <c r="G627" s="11" t="n">
        <v>1</v>
      </c>
      <c r="H627" s="21" t="n">
        <v>28</v>
      </c>
      <c r="I627" s="21" t="n">
        <v>17</v>
      </c>
      <c r="J627" s="22" t="n">
        <v>0</v>
      </c>
      <c r="K627" s="21" t="n">
        <f aca="false">G627*H627*(1-J627)</f>
        <v>28</v>
      </c>
      <c r="L627" s="21" t="n">
        <f aca="false">G627*I627</f>
        <v>17</v>
      </c>
      <c r="M627" s="21" t="n">
        <f aca="false">K627-L627</f>
        <v>11</v>
      </c>
      <c r="N627" s="11" t="str">
        <f aca="false">TEXT(B627,"mmm")</f>
        <v>Jun</v>
      </c>
    </row>
    <row r="628" customFormat="false" ht="15" hidden="false" customHeight="false" outlineLevel="0" collapsed="false">
      <c r="A628" s="11" t="s">
        <v>689</v>
      </c>
      <c r="B628" s="20" t="n">
        <v>45833</v>
      </c>
      <c r="C628" s="11" t="s">
        <v>24</v>
      </c>
      <c r="D628" s="11" t="s">
        <v>37</v>
      </c>
      <c r="E628" s="11" t="s">
        <v>53</v>
      </c>
      <c r="F628" s="11" t="s">
        <v>42</v>
      </c>
      <c r="G628" s="11" t="n">
        <v>31</v>
      </c>
      <c r="H628" s="21" t="n">
        <v>9</v>
      </c>
      <c r="I628" s="21" t="n">
        <v>4.5</v>
      </c>
      <c r="J628" s="22" t="n">
        <v>0</v>
      </c>
      <c r="K628" s="21" t="n">
        <f aca="false">G628*H628*(1-J628)</f>
        <v>279</v>
      </c>
      <c r="L628" s="21" t="n">
        <f aca="false">G628*I628</f>
        <v>139.5</v>
      </c>
      <c r="M628" s="21" t="n">
        <f aca="false">K628-L628</f>
        <v>139.5</v>
      </c>
      <c r="N628" s="11" t="str">
        <f aca="false">TEXT(B628,"mmm")</f>
        <v>Jun</v>
      </c>
    </row>
    <row r="629" customFormat="false" ht="15" hidden="false" customHeight="false" outlineLevel="0" collapsed="false">
      <c r="A629" s="11" t="s">
        <v>690</v>
      </c>
      <c r="B629" s="20" t="n">
        <v>45833</v>
      </c>
      <c r="C629" s="11" t="s">
        <v>22</v>
      </c>
      <c r="D629" s="11" t="s">
        <v>37</v>
      </c>
      <c r="E629" s="11" t="s">
        <v>53</v>
      </c>
      <c r="F629" s="11" t="s">
        <v>44</v>
      </c>
      <c r="G629" s="11" t="n">
        <v>4</v>
      </c>
      <c r="H629" s="21" t="n">
        <v>9</v>
      </c>
      <c r="I629" s="21" t="n">
        <v>4.5</v>
      </c>
      <c r="J629" s="22" t="n">
        <v>0.05</v>
      </c>
      <c r="K629" s="21" t="n">
        <f aca="false">G629*H629*(1-J629)</f>
        <v>34.2</v>
      </c>
      <c r="L629" s="21" t="n">
        <f aca="false">G629*I629</f>
        <v>18</v>
      </c>
      <c r="M629" s="21" t="n">
        <f aca="false">K629-L629</f>
        <v>16.2</v>
      </c>
      <c r="N629" s="11" t="str">
        <f aca="false">TEXT(B629,"mmm")</f>
        <v>Jun</v>
      </c>
    </row>
    <row r="630" customFormat="false" ht="15" hidden="false" customHeight="false" outlineLevel="0" collapsed="false">
      <c r="A630" s="11" t="s">
        <v>691</v>
      </c>
      <c r="B630" s="20" t="n">
        <v>45833</v>
      </c>
      <c r="C630" s="11" t="s">
        <v>20</v>
      </c>
      <c r="D630" s="11" t="s">
        <v>33</v>
      </c>
      <c r="E630" s="11" t="s">
        <v>48</v>
      </c>
      <c r="F630" s="11" t="s">
        <v>44</v>
      </c>
      <c r="G630" s="11" t="n">
        <v>1</v>
      </c>
      <c r="H630" s="21" t="n">
        <v>520</v>
      </c>
      <c r="I630" s="21" t="n">
        <v>415</v>
      </c>
      <c r="J630" s="22" t="n">
        <v>0</v>
      </c>
      <c r="K630" s="21" t="n">
        <f aca="false">G630*H630*(1-J630)</f>
        <v>520</v>
      </c>
      <c r="L630" s="21" t="n">
        <f aca="false">G630*I630</f>
        <v>415</v>
      </c>
      <c r="M630" s="21" t="n">
        <f aca="false">K630-L630</f>
        <v>105</v>
      </c>
      <c r="N630" s="11" t="str">
        <f aca="false">TEXT(B630,"mmm")</f>
        <v>Jun</v>
      </c>
    </row>
    <row r="631" customFormat="false" ht="15" hidden="false" customHeight="false" outlineLevel="0" collapsed="false">
      <c r="A631" s="11" t="s">
        <v>692</v>
      </c>
      <c r="B631" s="20" t="n">
        <v>45833</v>
      </c>
      <c r="C631" s="11" t="s">
        <v>22</v>
      </c>
      <c r="D631" s="11" t="s">
        <v>37</v>
      </c>
      <c r="E631" s="11" t="s">
        <v>53</v>
      </c>
      <c r="F631" s="11" t="s">
        <v>44</v>
      </c>
      <c r="G631" s="11" t="n">
        <v>34</v>
      </c>
      <c r="H631" s="21" t="n">
        <v>9</v>
      </c>
      <c r="I631" s="21" t="n">
        <v>4.5</v>
      </c>
      <c r="J631" s="22" t="n">
        <v>0</v>
      </c>
      <c r="K631" s="21" t="n">
        <f aca="false">G631*H631*(1-J631)</f>
        <v>306</v>
      </c>
      <c r="L631" s="21" t="n">
        <f aca="false">G631*I631</f>
        <v>153</v>
      </c>
      <c r="M631" s="21" t="n">
        <f aca="false">K631-L631</f>
        <v>153</v>
      </c>
      <c r="N631" s="11" t="str">
        <f aca="false">TEXT(B631,"mmm")</f>
        <v>Jun</v>
      </c>
    </row>
    <row r="632" customFormat="false" ht="15" hidden="false" customHeight="false" outlineLevel="0" collapsed="false">
      <c r="A632" s="11" t="s">
        <v>693</v>
      </c>
      <c r="B632" s="20" t="n">
        <v>45833</v>
      </c>
      <c r="C632" s="11" t="s">
        <v>18</v>
      </c>
      <c r="D632" s="11" t="s">
        <v>37</v>
      </c>
      <c r="E632" s="11" t="s">
        <v>52</v>
      </c>
      <c r="F632" s="11" t="s">
        <v>45</v>
      </c>
      <c r="G632" s="11" t="n">
        <v>96</v>
      </c>
      <c r="H632" s="21" t="n">
        <v>12</v>
      </c>
      <c r="I632" s="21" t="n">
        <v>6</v>
      </c>
      <c r="J632" s="22" t="n">
        <v>0.15</v>
      </c>
      <c r="K632" s="21" t="n">
        <f aca="false">G632*H632*(1-J632)</f>
        <v>979.2</v>
      </c>
      <c r="L632" s="21" t="n">
        <f aca="false">G632*I632</f>
        <v>576</v>
      </c>
      <c r="M632" s="21" t="n">
        <f aca="false">K632-L632</f>
        <v>403.2</v>
      </c>
      <c r="N632" s="11" t="str">
        <f aca="false">TEXT(B632,"mmm")</f>
        <v>Jun</v>
      </c>
    </row>
    <row r="633" customFormat="false" ht="15" hidden="false" customHeight="false" outlineLevel="0" collapsed="false">
      <c r="A633" s="11" t="s">
        <v>694</v>
      </c>
      <c r="B633" s="20" t="n">
        <v>45833</v>
      </c>
      <c r="C633" s="11" t="s">
        <v>22</v>
      </c>
      <c r="D633" s="11" t="s">
        <v>37</v>
      </c>
      <c r="E633" s="11" t="s">
        <v>52</v>
      </c>
      <c r="F633" s="11" t="s">
        <v>42</v>
      </c>
      <c r="G633" s="11" t="n">
        <v>16</v>
      </c>
      <c r="H633" s="21" t="n">
        <v>12</v>
      </c>
      <c r="I633" s="21" t="n">
        <v>6</v>
      </c>
      <c r="J633" s="22" t="n">
        <v>0.15</v>
      </c>
      <c r="K633" s="21" t="n">
        <f aca="false">G633*H633*(1-J633)</f>
        <v>163.2</v>
      </c>
      <c r="L633" s="21" t="n">
        <f aca="false">G633*I633</f>
        <v>96</v>
      </c>
      <c r="M633" s="21" t="n">
        <f aca="false">K633-L633</f>
        <v>67.2</v>
      </c>
      <c r="N633" s="11" t="str">
        <f aca="false">TEXT(B633,"mmm")</f>
        <v>Jun</v>
      </c>
    </row>
    <row r="634" customFormat="false" ht="15" hidden="false" customHeight="false" outlineLevel="0" collapsed="false">
      <c r="A634" s="11" t="s">
        <v>695</v>
      </c>
      <c r="B634" s="20" t="n">
        <v>45833</v>
      </c>
      <c r="C634" s="11" t="s">
        <v>18</v>
      </c>
      <c r="D634" s="11" t="s">
        <v>37</v>
      </c>
      <c r="E634" s="11" t="s">
        <v>53</v>
      </c>
      <c r="F634" s="11" t="s">
        <v>42</v>
      </c>
      <c r="G634" s="11" t="n">
        <v>10</v>
      </c>
      <c r="H634" s="21" t="n">
        <v>9</v>
      </c>
      <c r="I634" s="21" t="n">
        <v>4.5</v>
      </c>
      <c r="J634" s="22" t="n">
        <v>0</v>
      </c>
      <c r="K634" s="21" t="n">
        <f aca="false">G634*H634*(1-J634)</f>
        <v>90</v>
      </c>
      <c r="L634" s="21" t="n">
        <f aca="false">G634*I634</f>
        <v>45</v>
      </c>
      <c r="M634" s="21" t="n">
        <f aca="false">K634-L634</f>
        <v>45</v>
      </c>
      <c r="N634" s="11" t="str">
        <f aca="false">TEXT(B634,"mmm")</f>
        <v>Jun</v>
      </c>
    </row>
    <row r="635" customFormat="false" ht="15" hidden="false" customHeight="false" outlineLevel="0" collapsed="false">
      <c r="A635" s="11" t="s">
        <v>696</v>
      </c>
      <c r="B635" s="20" t="n">
        <v>45833</v>
      </c>
      <c r="C635" s="11" t="s">
        <v>18</v>
      </c>
      <c r="D635" s="11" t="s">
        <v>37</v>
      </c>
      <c r="E635" s="11" t="s">
        <v>52</v>
      </c>
      <c r="F635" s="11" t="s">
        <v>42</v>
      </c>
      <c r="G635" s="11" t="n">
        <v>10</v>
      </c>
      <c r="H635" s="21" t="n">
        <v>12</v>
      </c>
      <c r="I635" s="21" t="n">
        <v>6</v>
      </c>
      <c r="J635" s="22" t="n">
        <v>0.15</v>
      </c>
      <c r="K635" s="21" t="n">
        <f aca="false">G635*H635*(1-J635)</f>
        <v>102</v>
      </c>
      <c r="L635" s="21" t="n">
        <f aca="false">G635*I635</f>
        <v>60</v>
      </c>
      <c r="M635" s="21" t="n">
        <f aca="false">K635-L635</f>
        <v>42</v>
      </c>
      <c r="N635" s="11" t="str">
        <f aca="false">TEXT(B635,"mmm")</f>
        <v>Jun</v>
      </c>
    </row>
    <row r="636" customFormat="false" ht="15" hidden="false" customHeight="false" outlineLevel="0" collapsed="false">
      <c r="A636" s="11" t="s">
        <v>697</v>
      </c>
      <c r="B636" s="20" t="n">
        <v>45833</v>
      </c>
      <c r="C636" s="11" t="s">
        <v>18</v>
      </c>
      <c r="D636" s="11" t="s">
        <v>37</v>
      </c>
      <c r="E636" s="11" t="s">
        <v>52</v>
      </c>
      <c r="F636" s="11" t="s">
        <v>44</v>
      </c>
      <c r="G636" s="11" t="n">
        <v>12</v>
      </c>
      <c r="H636" s="21" t="n">
        <v>12</v>
      </c>
      <c r="I636" s="21" t="n">
        <v>6</v>
      </c>
      <c r="J636" s="22" t="n">
        <v>0</v>
      </c>
      <c r="K636" s="21" t="n">
        <f aca="false">G636*H636*(1-J636)</f>
        <v>144</v>
      </c>
      <c r="L636" s="21" t="n">
        <f aca="false">G636*I636</f>
        <v>72</v>
      </c>
      <c r="M636" s="21" t="n">
        <f aca="false">K636-L636</f>
        <v>72</v>
      </c>
      <c r="N636" s="11" t="str">
        <f aca="false">TEXT(B636,"mmm")</f>
        <v>Jun</v>
      </c>
    </row>
    <row r="637" customFormat="false" ht="15" hidden="false" customHeight="false" outlineLevel="0" collapsed="false">
      <c r="A637" s="11" t="s">
        <v>698</v>
      </c>
      <c r="B637" s="20" t="n">
        <v>45833</v>
      </c>
      <c r="C637" s="11" t="s">
        <v>18</v>
      </c>
      <c r="D637" s="11" t="s">
        <v>37</v>
      </c>
      <c r="E637" s="11" t="s">
        <v>53</v>
      </c>
      <c r="F637" s="11" t="s">
        <v>42</v>
      </c>
      <c r="G637" s="11" t="n">
        <v>31</v>
      </c>
      <c r="H637" s="21" t="n">
        <v>9</v>
      </c>
      <c r="I637" s="21" t="n">
        <v>4.5</v>
      </c>
      <c r="J637" s="22" t="n">
        <v>0.05</v>
      </c>
      <c r="K637" s="21" t="n">
        <f aca="false">G637*H637*(1-J637)</f>
        <v>265.05</v>
      </c>
      <c r="L637" s="21" t="n">
        <f aca="false">G637*I637</f>
        <v>139.5</v>
      </c>
      <c r="M637" s="21" t="n">
        <f aca="false">K637-L637</f>
        <v>125.55</v>
      </c>
      <c r="N637" s="11" t="str">
        <f aca="false">TEXT(B637,"mmm")</f>
        <v>Jun</v>
      </c>
    </row>
    <row r="638" customFormat="false" ht="15" hidden="false" customHeight="false" outlineLevel="0" collapsed="false">
      <c r="A638" s="11" t="s">
        <v>699</v>
      </c>
      <c r="B638" s="20" t="n">
        <v>45834</v>
      </c>
      <c r="C638" s="11" t="s">
        <v>20</v>
      </c>
      <c r="D638" s="11" t="s">
        <v>33</v>
      </c>
      <c r="E638" s="11" t="s">
        <v>51</v>
      </c>
      <c r="F638" s="11" t="s">
        <v>44</v>
      </c>
      <c r="G638" s="11" t="n">
        <v>6</v>
      </c>
      <c r="H638" s="21" t="n">
        <v>90</v>
      </c>
      <c r="I638" s="21" t="n">
        <v>58</v>
      </c>
      <c r="J638" s="22" t="n">
        <v>0</v>
      </c>
      <c r="K638" s="21" t="n">
        <f aca="false">G638*H638*(1-J638)</f>
        <v>540</v>
      </c>
      <c r="L638" s="21" t="n">
        <f aca="false">G638*I638</f>
        <v>348</v>
      </c>
      <c r="M638" s="21" t="n">
        <f aca="false">K638-L638</f>
        <v>192</v>
      </c>
      <c r="N638" s="11" t="str">
        <f aca="false">TEXT(B638,"mmm")</f>
        <v>Jun</v>
      </c>
    </row>
    <row r="639" customFormat="false" ht="15" hidden="false" customHeight="false" outlineLevel="0" collapsed="false">
      <c r="A639" s="11" t="s">
        <v>700</v>
      </c>
      <c r="B639" s="20" t="n">
        <v>45834</v>
      </c>
      <c r="C639" s="11" t="s">
        <v>20</v>
      </c>
      <c r="D639" s="11" t="s">
        <v>37</v>
      </c>
      <c r="E639" s="11" t="s">
        <v>49</v>
      </c>
      <c r="F639" s="11" t="s">
        <v>42</v>
      </c>
      <c r="G639" s="11" t="n">
        <v>29</v>
      </c>
      <c r="H639" s="21" t="n">
        <v>28</v>
      </c>
      <c r="I639" s="21" t="n">
        <v>17</v>
      </c>
      <c r="J639" s="22" t="n">
        <v>0.15</v>
      </c>
      <c r="K639" s="21" t="n">
        <f aca="false">G639*H639*(1-J639)</f>
        <v>690.2</v>
      </c>
      <c r="L639" s="21" t="n">
        <f aca="false">G639*I639</f>
        <v>493</v>
      </c>
      <c r="M639" s="21" t="n">
        <f aca="false">K639-L639</f>
        <v>197.2</v>
      </c>
      <c r="N639" s="11" t="str">
        <f aca="false">TEXT(B639,"mmm")</f>
        <v>Jun</v>
      </c>
    </row>
    <row r="640" customFormat="false" ht="15" hidden="false" customHeight="false" outlineLevel="0" collapsed="false">
      <c r="A640" s="11" t="s">
        <v>701</v>
      </c>
      <c r="B640" s="20" t="n">
        <v>45834</v>
      </c>
      <c r="C640" s="11" t="s">
        <v>22</v>
      </c>
      <c r="D640" s="11" t="s">
        <v>33</v>
      </c>
      <c r="E640" s="11" t="s">
        <v>48</v>
      </c>
      <c r="F640" s="11" t="s">
        <v>44</v>
      </c>
      <c r="G640" s="11" t="n">
        <v>2</v>
      </c>
      <c r="H640" s="21" t="n">
        <v>520</v>
      </c>
      <c r="I640" s="21" t="n">
        <v>415</v>
      </c>
      <c r="J640" s="22" t="n">
        <v>0.05</v>
      </c>
      <c r="K640" s="21" t="n">
        <f aca="false">G640*H640*(1-J640)</f>
        <v>988</v>
      </c>
      <c r="L640" s="21" t="n">
        <f aca="false">G640*I640</f>
        <v>830</v>
      </c>
      <c r="M640" s="21" t="n">
        <f aca="false">K640-L640</f>
        <v>158</v>
      </c>
      <c r="N640" s="11" t="str">
        <f aca="false">TEXT(B640,"mmm")</f>
        <v>Jun</v>
      </c>
    </row>
    <row r="641" customFormat="false" ht="15" hidden="false" customHeight="false" outlineLevel="0" collapsed="false">
      <c r="A641" s="11" t="s">
        <v>702</v>
      </c>
      <c r="B641" s="20" t="n">
        <v>45834</v>
      </c>
      <c r="C641" s="11" t="s">
        <v>24</v>
      </c>
      <c r="D641" s="11" t="s">
        <v>37</v>
      </c>
      <c r="E641" s="11" t="s">
        <v>52</v>
      </c>
      <c r="F641" s="11" t="s">
        <v>44</v>
      </c>
      <c r="G641" s="11" t="n">
        <v>1</v>
      </c>
      <c r="H641" s="21" t="n">
        <v>12</v>
      </c>
      <c r="I641" s="21" t="n">
        <v>6</v>
      </c>
      <c r="J641" s="22" t="n">
        <v>0.1</v>
      </c>
      <c r="K641" s="21" t="n">
        <f aca="false">G641*H641*(1-J641)</f>
        <v>10.8</v>
      </c>
      <c r="L641" s="21" t="n">
        <f aca="false">G641*I641</f>
        <v>6</v>
      </c>
      <c r="M641" s="21" t="n">
        <f aca="false">K641-L641</f>
        <v>4.8</v>
      </c>
      <c r="N641" s="11" t="str">
        <f aca="false">TEXT(B641,"mmm")</f>
        <v>Jun</v>
      </c>
    </row>
    <row r="642" customFormat="false" ht="15" hidden="false" customHeight="false" outlineLevel="0" collapsed="false">
      <c r="A642" s="11" t="s">
        <v>703</v>
      </c>
      <c r="B642" s="20" t="n">
        <v>45835</v>
      </c>
      <c r="C642" s="11" t="s">
        <v>20</v>
      </c>
      <c r="D642" s="11" t="s">
        <v>37</v>
      </c>
      <c r="E642" s="11" t="s">
        <v>49</v>
      </c>
      <c r="F642" s="11" t="s">
        <v>45</v>
      </c>
      <c r="G642" s="11" t="n">
        <v>45</v>
      </c>
      <c r="H642" s="21" t="n">
        <v>28</v>
      </c>
      <c r="I642" s="21" t="n">
        <v>17</v>
      </c>
      <c r="J642" s="22" t="n">
        <v>0.1</v>
      </c>
      <c r="K642" s="21" t="n">
        <f aca="false">G642*H642*(1-J642)</f>
        <v>1134</v>
      </c>
      <c r="L642" s="21" t="n">
        <f aca="false">G642*I642</f>
        <v>765</v>
      </c>
      <c r="M642" s="21" t="n">
        <f aca="false">K642-L642</f>
        <v>369</v>
      </c>
      <c r="N642" s="11" t="str">
        <f aca="false">TEXT(B642,"mmm")</f>
        <v>Jun</v>
      </c>
    </row>
    <row r="643" customFormat="false" ht="15" hidden="false" customHeight="false" outlineLevel="0" collapsed="false">
      <c r="A643" s="11" t="s">
        <v>704</v>
      </c>
      <c r="B643" s="20" t="n">
        <v>45835</v>
      </c>
      <c r="C643" s="11" t="s">
        <v>22</v>
      </c>
      <c r="D643" s="11" t="s">
        <v>33</v>
      </c>
      <c r="E643" s="11" t="s">
        <v>51</v>
      </c>
      <c r="F643" s="11" t="s">
        <v>42</v>
      </c>
      <c r="G643" s="11" t="n">
        <v>4</v>
      </c>
      <c r="H643" s="21" t="n">
        <v>90</v>
      </c>
      <c r="I643" s="21" t="n">
        <v>58</v>
      </c>
      <c r="J643" s="22" t="n">
        <v>0.15</v>
      </c>
      <c r="K643" s="21" t="n">
        <f aca="false">G643*H643*(1-J643)</f>
        <v>306</v>
      </c>
      <c r="L643" s="21" t="n">
        <f aca="false">G643*I643</f>
        <v>232</v>
      </c>
      <c r="M643" s="21" t="n">
        <f aca="false">K643-L643</f>
        <v>74</v>
      </c>
      <c r="N643" s="11" t="str">
        <f aca="false">TEXT(B643,"mmm")</f>
        <v>Jun</v>
      </c>
    </row>
    <row r="644" customFormat="false" ht="15" hidden="false" customHeight="false" outlineLevel="0" collapsed="false">
      <c r="A644" s="11" t="s">
        <v>705</v>
      </c>
      <c r="B644" s="20" t="n">
        <v>45835</v>
      </c>
      <c r="C644" s="11" t="s">
        <v>22</v>
      </c>
      <c r="D644" s="11" t="s">
        <v>37</v>
      </c>
      <c r="E644" s="11" t="s">
        <v>53</v>
      </c>
      <c r="F644" s="11" t="s">
        <v>44</v>
      </c>
      <c r="G644" s="11" t="n">
        <v>30</v>
      </c>
      <c r="H644" s="21" t="n">
        <v>9</v>
      </c>
      <c r="I644" s="21" t="n">
        <v>4.5</v>
      </c>
      <c r="J644" s="22" t="n">
        <v>0</v>
      </c>
      <c r="K644" s="21" t="n">
        <f aca="false">G644*H644*(1-J644)</f>
        <v>270</v>
      </c>
      <c r="L644" s="21" t="n">
        <f aca="false">G644*I644</f>
        <v>135</v>
      </c>
      <c r="M644" s="21" t="n">
        <f aca="false">K644-L644</f>
        <v>135</v>
      </c>
      <c r="N644" s="11" t="str">
        <f aca="false">TEXT(B644,"mmm")</f>
        <v>Jun</v>
      </c>
    </row>
    <row r="645" customFormat="false" ht="15" hidden="false" customHeight="false" outlineLevel="0" collapsed="false">
      <c r="A645" s="11" t="s">
        <v>706</v>
      </c>
      <c r="B645" s="20" t="n">
        <v>45836</v>
      </c>
      <c r="C645" s="11" t="s">
        <v>22</v>
      </c>
      <c r="D645" s="11" t="s">
        <v>37</v>
      </c>
      <c r="E645" s="11" t="s">
        <v>53</v>
      </c>
      <c r="F645" s="11" t="s">
        <v>44</v>
      </c>
      <c r="G645" s="11" t="n">
        <v>7</v>
      </c>
      <c r="H645" s="21" t="n">
        <v>9</v>
      </c>
      <c r="I645" s="21" t="n">
        <v>4.5</v>
      </c>
      <c r="J645" s="22" t="n">
        <v>0</v>
      </c>
      <c r="K645" s="21" t="n">
        <f aca="false">G645*H645*(1-J645)</f>
        <v>63</v>
      </c>
      <c r="L645" s="21" t="n">
        <f aca="false">G645*I645</f>
        <v>31.5</v>
      </c>
      <c r="M645" s="21" t="n">
        <f aca="false">K645-L645</f>
        <v>31.5</v>
      </c>
      <c r="N645" s="11" t="str">
        <f aca="false">TEXT(B645,"mmm")</f>
        <v>Jun</v>
      </c>
    </row>
    <row r="646" customFormat="false" ht="15" hidden="false" customHeight="false" outlineLevel="0" collapsed="false">
      <c r="A646" s="11" t="s">
        <v>707</v>
      </c>
      <c r="B646" s="20" t="n">
        <v>45836</v>
      </c>
      <c r="C646" s="11" t="s">
        <v>24</v>
      </c>
      <c r="D646" s="11" t="s">
        <v>37</v>
      </c>
      <c r="E646" s="11" t="s">
        <v>53</v>
      </c>
      <c r="F646" s="11" t="s">
        <v>45</v>
      </c>
      <c r="G646" s="11" t="n">
        <v>63</v>
      </c>
      <c r="H646" s="21" t="n">
        <v>9</v>
      </c>
      <c r="I646" s="21" t="n">
        <v>4.5</v>
      </c>
      <c r="J646" s="22" t="n">
        <v>0.1</v>
      </c>
      <c r="K646" s="21" t="n">
        <f aca="false">G646*H646*(1-J646)</f>
        <v>510.3</v>
      </c>
      <c r="L646" s="21" t="n">
        <f aca="false">G646*I646</f>
        <v>283.5</v>
      </c>
      <c r="M646" s="21" t="n">
        <f aca="false">K646-L646</f>
        <v>226.8</v>
      </c>
      <c r="N646" s="11" t="str">
        <f aca="false">TEXT(B646,"mmm")</f>
        <v>Jun</v>
      </c>
    </row>
    <row r="647" customFormat="false" ht="15" hidden="false" customHeight="false" outlineLevel="0" collapsed="false">
      <c r="A647" s="11" t="s">
        <v>708</v>
      </c>
      <c r="B647" s="20" t="n">
        <v>45836</v>
      </c>
      <c r="C647" s="11" t="s">
        <v>20</v>
      </c>
      <c r="D647" s="11" t="s">
        <v>37</v>
      </c>
      <c r="E647" s="11" t="s">
        <v>53</v>
      </c>
      <c r="F647" s="11" t="s">
        <v>42</v>
      </c>
      <c r="G647" s="11" t="n">
        <v>11</v>
      </c>
      <c r="H647" s="21" t="n">
        <v>9</v>
      </c>
      <c r="I647" s="21" t="n">
        <v>4.5</v>
      </c>
      <c r="J647" s="22" t="n">
        <v>0</v>
      </c>
      <c r="K647" s="21" t="n">
        <f aca="false">G647*H647*(1-J647)</f>
        <v>99</v>
      </c>
      <c r="L647" s="21" t="n">
        <f aca="false">G647*I647</f>
        <v>49.5</v>
      </c>
      <c r="M647" s="21" t="n">
        <f aca="false">K647-L647</f>
        <v>49.5</v>
      </c>
      <c r="N647" s="11" t="str">
        <f aca="false">TEXT(B647,"mmm")</f>
        <v>Jun</v>
      </c>
    </row>
    <row r="648" customFormat="false" ht="15" hidden="false" customHeight="false" outlineLevel="0" collapsed="false">
      <c r="A648" s="11" t="s">
        <v>709</v>
      </c>
      <c r="B648" s="20" t="n">
        <v>45836</v>
      </c>
      <c r="C648" s="11" t="s">
        <v>20</v>
      </c>
      <c r="D648" s="11" t="s">
        <v>37</v>
      </c>
      <c r="E648" s="11" t="s">
        <v>53</v>
      </c>
      <c r="F648" s="11" t="s">
        <v>45</v>
      </c>
      <c r="G648" s="11" t="n">
        <v>93</v>
      </c>
      <c r="H648" s="21" t="n">
        <v>9</v>
      </c>
      <c r="I648" s="21" t="n">
        <v>4.5</v>
      </c>
      <c r="J648" s="22" t="n">
        <v>0.2</v>
      </c>
      <c r="K648" s="21" t="n">
        <f aca="false">G648*H648*(1-J648)</f>
        <v>669.6</v>
      </c>
      <c r="L648" s="21" t="n">
        <f aca="false">G648*I648</f>
        <v>418.5</v>
      </c>
      <c r="M648" s="21" t="n">
        <f aca="false">K648-L648</f>
        <v>251.1</v>
      </c>
      <c r="N648" s="11" t="str">
        <f aca="false">TEXT(B648,"mmm")</f>
        <v>Jun</v>
      </c>
    </row>
    <row r="649" customFormat="false" ht="15" hidden="false" customHeight="false" outlineLevel="0" collapsed="false">
      <c r="A649" s="11" t="s">
        <v>710</v>
      </c>
      <c r="B649" s="20" t="n">
        <v>45836</v>
      </c>
      <c r="C649" s="11" t="s">
        <v>18</v>
      </c>
      <c r="D649" s="11" t="s">
        <v>35</v>
      </c>
      <c r="E649" s="11" t="s">
        <v>55</v>
      </c>
      <c r="F649" s="11" t="s">
        <v>45</v>
      </c>
      <c r="G649" s="11" t="n">
        <v>4</v>
      </c>
      <c r="H649" s="21" t="n">
        <v>150</v>
      </c>
      <c r="I649" s="21" t="n">
        <v>82</v>
      </c>
      <c r="J649" s="22" t="n">
        <v>0.1</v>
      </c>
      <c r="K649" s="21" t="n">
        <f aca="false">G649*H649*(1-J649)</f>
        <v>540</v>
      </c>
      <c r="L649" s="21" t="n">
        <f aca="false">G649*I649</f>
        <v>328</v>
      </c>
      <c r="M649" s="21" t="n">
        <f aca="false">K649-L649</f>
        <v>212</v>
      </c>
      <c r="N649" s="11" t="str">
        <f aca="false">TEXT(B649,"mmm")</f>
        <v>Jun</v>
      </c>
    </row>
    <row r="650" customFormat="false" ht="15" hidden="false" customHeight="false" outlineLevel="0" collapsed="false">
      <c r="A650" s="11" t="s">
        <v>711</v>
      </c>
      <c r="B650" s="20" t="n">
        <v>45836</v>
      </c>
      <c r="C650" s="11" t="s">
        <v>24</v>
      </c>
      <c r="D650" s="11" t="s">
        <v>33</v>
      </c>
      <c r="E650" s="11" t="s">
        <v>51</v>
      </c>
      <c r="F650" s="11" t="s">
        <v>45</v>
      </c>
      <c r="G650" s="11" t="n">
        <v>6</v>
      </c>
      <c r="H650" s="21" t="n">
        <v>90</v>
      </c>
      <c r="I650" s="21" t="n">
        <v>58</v>
      </c>
      <c r="J650" s="22" t="n">
        <v>0.2</v>
      </c>
      <c r="K650" s="21" t="n">
        <f aca="false">G650*H650*(1-J650)</f>
        <v>432</v>
      </c>
      <c r="L650" s="21" t="n">
        <f aca="false">G650*I650</f>
        <v>348</v>
      </c>
      <c r="M650" s="21" t="n">
        <f aca="false">K650-L650</f>
        <v>84</v>
      </c>
      <c r="N650" s="11" t="str">
        <f aca="false">TEXT(B650,"mmm")</f>
        <v>Jun</v>
      </c>
    </row>
    <row r="651" customFormat="false" ht="15" hidden="false" customHeight="false" outlineLevel="0" collapsed="false">
      <c r="A651" s="11" t="s">
        <v>712</v>
      </c>
      <c r="B651" s="20" t="n">
        <v>45836</v>
      </c>
      <c r="C651" s="11" t="s">
        <v>22</v>
      </c>
      <c r="D651" s="11" t="s">
        <v>35</v>
      </c>
      <c r="E651" s="11" t="s">
        <v>54</v>
      </c>
      <c r="F651" s="11" t="s">
        <v>44</v>
      </c>
      <c r="G651" s="11" t="n">
        <v>3</v>
      </c>
      <c r="H651" s="21" t="n">
        <v>320</v>
      </c>
      <c r="I651" s="21" t="n">
        <v>185</v>
      </c>
      <c r="J651" s="22" t="n">
        <v>0.1</v>
      </c>
      <c r="K651" s="21" t="n">
        <f aca="false">G651*H651*(1-J651)</f>
        <v>864</v>
      </c>
      <c r="L651" s="21" t="n">
        <f aca="false">G651*I651</f>
        <v>555</v>
      </c>
      <c r="M651" s="21" t="n">
        <f aca="false">K651-L651</f>
        <v>309</v>
      </c>
      <c r="N651" s="11" t="str">
        <f aca="false">TEXT(B651,"mmm")</f>
        <v>Jun</v>
      </c>
    </row>
    <row r="652" customFormat="false" ht="15" hidden="false" customHeight="false" outlineLevel="0" collapsed="false">
      <c r="A652" s="11" t="s">
        <v>713</v>
      </c>
      <c r="B652" s="20" t="n">
        <v>45839</v>
      </c>
      <c r="C652" s="11" t="s">
        <v>22</v>
      </c>
      <c r="D652" s="11" t="s">
        <v>37</v>
      </c>
      <c r="E652" s="11" t="s">
        <v>52</v>
      </c>
      <c r="F652" s="11" t="s">
        <v>44</v>
      </c>
      <c r="G652" s="11" t="n">
        <v>20</v>
      </c>
      <c r="H652" s="21" t="n">
        <v>12</v>
      </c>
      <c r="I652" s="21" t="n">
        <v>6</v>
      </c>
      <c r="J652" s="22" t="n">
        <v>0</v>
      </c>
      <c r="K652" s="21" t="n">
        <f aca="false">G652*H652*(1-J652)</f>
        <v>240</v>
      </c>
      <c r="L652" s="21" t="n">
        <f aca="false">G652*I652</f>
        <v>120</v>
      </c>
      <c r="M652" s="21" t="n">
        <f aca="false">K652-L652</f>
        <v>120</v>
      </c>
      <c r="N652" s="11" t="str">
        <f aca="false">TEXT(B652,"mmm")</f>
        <v>Jul</v>
      </c>
    </row>
    <row r="653" customFormat="false" ht="15" hidden="false" customHeight="false" outlineLevel="0" collapsed="false">
      <c r="A653" s="11" t="s">
        <v>714</v>
      </c>
      <c r="B653" s="20" t="n">
        <v>45839</v>
      </c>
      <c r="C653" s="11" t="s">
        <v>24</v>
      </c>
      <c r="D653" s="11" t="s">
        <v>35</v>
      </c>
      <c r="E653" s="11" t="s">
        <v>55</v>
      </c>
      <c r="F653" s="11" t="s">
        <v>42</v>
      </c>
      <c r="G653" s="11" t="n">
        <v>1</v>
      </c>
      <c r="H653" s="21" t="n">
        <v>150</v>
      </c>
      <c r="I653" s="21" t="n">
        <v>82</v>
      </c>
      <c r="J653" s="22" t="n">
        <v>0.1</v>
      </c>
      <c r="K653" s="21" t="n">
        <f aca="false">G653*H653*(1-J653)</f>
        <v>135</v>
      </c>
      <c r="L653" s="21" t="n">
        <f aca="false">G653*I653</f>
        <v>82</v>
      </c>
      <c r="M653" s="21" t="n">
        <f aca="false">K653-L653</f>
        <v>53</v>
      </c>
      <c r="N653" s="11" t="str">
        <f aca="false">TEXT(B653,"mmm")</f>
        <v>Jul</v>
      </c>
    </row>
    <row r="654" customFormat="false" ht="15" hidden="false" customHeight="false" outlineLevel="0" collapsed="false">
      <c r="A654" s="11" t="s">
        <v>715</v>
      </c>
      <c r="B654" s="20" t="n">
        <v>45839</v>
      </c>
      <c r="C654" s="11" t="s">
        <v>20</v>
      </c>
      <c r="D654" s="11" t="s">
        <v>33</v>
      </c>
      <c r="E654" s="11" t="s">
        <v>50</v>
      </c>
      <c r="F654" s="11" t="s">
        <v>42</v>
      </c>
      <c r="G654" s="11" t="n">
        <v>3</v>
      </c>
      <c r="H654" s="21" t="n">
        <v>780</v>
      </c>
      <c r="I654" s="21" t="n">
        <v>600</v>
      </c>
      <c r="J654" s="22" t="n">
        <v>0.05</v>
      </c>
      <c r="K654" s="21" t="n">
        <f aca="false">G654*H654*(1-J654)</f>
        <v>2223</v>
      </c>
      <c r="L654" s="21" t="n">
        <f aca="false">G654*I654</f>
        <v>1800</v>
      </c>
      <c r="M654" s="21" t="n">
        <f aca="false">K654-L654</f>
        <v>423</v>
      </c>
      <c r="N654" s="11" t="str">
        <f aca="false">TEXT(B654,"mmm")</f>
        <v>Jul</v>
      </c>
    </row>
    <row r="655" customFormat="false" ht="15" hidden="false" customHeight="false" outlineLevel="0" collapsed="false">
      <c r="A655" s="11" t="s">
        <v>716</v>
      </c>
      <c r="B655" s="20" t="n">
        <v>45840</v>
      </c>
      <c r="C655" s="11" t="s">
        <v>18</v>
      </c>
      <c r="D655" s="11" t="s">
        <v>35</v>
      </c>
      <c r="E655" s="11" t="s">
        <v>56</v>
      </c>
      <c r="F655" s="11" t="s">
        <v>42</v>
      </c>
      <c r="G655" s="11" t="n">
        <v>3</v>
      </c>
      <c r="H655" s="21" t="n">
        <v>110</v>
      </c>
      <c r="I655" s="21" t="n">
        <v>62</v>
      </c>
      <c r="J655" s="22" t="n">
        <v>0.1</v>
      </c>
      <c r="K655" s="21" t="n">
        <f aca="false">G655*H655*(1-J655)</f>
        <v>297</v>
      </c>
      <c r="L655" s="21" t="n">
        <f aca="false">G655*I655</f>
        <v>186</v>
      </c>
      <c r="M655" s="21" t="n">
        <f aca="false">K655-L655</f>
        <v>111</v>
      </c>
      <c r="N655" s="11" t="str">
        <f aca="false">TEXT(B655,"mmm")</f>
        <v>Jul</v>
      </c>
    </row>
    <row r="656" customFormat="false" ht="15" hidden="false" customHeight="false" outlineLevel="0" collapsed="false">
      <c r="A656" s="11" t="s">
        <v>717</v>
      </c>
      <c r="B656" s="20" t="n">
        <v>45840</v>
      </c>
      <c r="C656" s="11" t="s">
        <v>20</v>
      </c>
      <c r="D656" s="11" t="s">
        <v>35</v>
      </c>
      <c r="E656" s="11" t="s">
        <v>56</v>
      </c>
      <c r="F656" s="11" t="s">
        <v>44</v>
      </c>
      <c r="G656" s="11" t="n">
        <v>1</v>
      </c>
      <c r="H656" s="21" t="n">
        <v>110</v>
      </c>
      <c r="I656" s="21" t="n">
        <v>62</v>
      </c>
      <c r="J656" s="22" t="n">
        <v>0.05</v>
      </c>
      <c r="K656" s="21" t="n">
        <f aca="false">G656*H656*(1-J656)</f>
        <v>104.5</v>
      </c>
      <c r="L656" s="21" t="n">
        <f aca="false">G656*I656</f>
        <v>62</v>
      </c>
      <c r="M656" s="21" t="n">
        <f aca="false">K656-L656</f>
        <v>42.5</v>
      </c>
      <c r="N656" s="11" t="str">
        <f aca="false">TEXT(B656,"mmm")</f>
        <v>Jul</v>
      </c>
    </row>
    <row r="657" customFormat="false" ht="15" hidden="false" customHeight="false" outlineLevel="0" collapsed="false">
      <c r="A657" s="11" t="s">
        <v>718</v>
      </c>
      <c r="B657" s="20" t="n">
        <v>45840</v>
      </c>
      <c r="C657" s="11" t="s">
        <v>24</v>
      </c>
      <c r="D657" s="11" t="s">
        <v>33</v>
      </c>
      <c r="E657" s="11" t="s">
        <v>51</v>
      </c>
      <c r="F657" s="11" t="s">
        <v>44</v>
      </c>
      <c r="G657" s="11" t="n">
        <v>5</v>
      </c>
      <c r="H657" s="21" t="n">
        <v>90</v>
      </c>
      <c r="I657" s="21" t="n">
        <v>58</v>
      </c>
      <c r="J657" s="22" t="n">
        <v>0.05</v>
      </c>
      <c r="K657" s="21" t="n">
        <f aca="false">G657*H657*(1-J657)</f>
        <v>427.5</v>
      </c>
      <c r="L657" s="21" t="n">
        <f aca="false">G657*I657</f>
        <v>290</v>
      </c>
      <c r="M657" s="21" t="n">
        <f aca="false">K657-L657</f>
        <v>137.5</v>
      </c>
      <c r="N657" s="11" t="str">
        <f aca="false">TEXT(B657,"mmm")</f>
        <v>Jul</v>
      </c>
    </row>
    <row r="658" customFormat="false" ht="15" hidden="false" customHeight="false" outlineLevel="0" collapsed="false">
      <c r="A658" s="11" t="s">
        <v>719</v>
      </c>
      <c r="B658" s="20" t="n">
        <v>45840</v>
      </c>
      <c r="C658" s="11" t="s">
        <v>24</v>
      </c>
      <c r="D658" s="11" t="s">
        <v>33</v>
      </c>
      <c r="E658" s="11" t="s">
        <v>48</v>
      </c>
      <c r="F658" s="11" t="s">
        <v>42</v>
      </c>
      <c r="G658" s="11" t="n">
        <v>2</v>
      </c>
      <c r="H658" s="21" t="n">
        <v>520</v>
      </c>
      <c r="I658" s="21" t="n">
        <v>415</v>
      </c>
      <c r="J658" s="22" t="n">
        <v>0.1</v>
      </c>
      <c r="K658" s="21" t="n">
        <f aca="false">G658*H658*(1-J658)</f>
        <v>936</v>
      </c>
      <c r="L658" s="21" t="n">
        <f aca="false">G658*I658</f>
        <v>830</v>
      </c>
      <c r="M658" s="21" t="n">
        <f aca="false">K658-L658</f>
        <v>106</v>
      </c>
      <c r="N658" s="11" t="str">
        <f aca="false">TEXT(B658,"mmm")</f>
        <v>Jul</v>
      </c>
    </row>
    <row r="659" customFormat="false" ht="15" hidden="false" customHeight="false" outlineLevel="0" collapsed="false">
      <c r="A659" s="11" t="s">
        <v>720</v>
      </c>
      <c r="B659" s="20" t="n">
        <v>45841</v>
      </c>
      <c r="C659" s="11" t="s">
        <v>22</v>
      </c>
      <c r="D659" s="11" t="s">
        <v>37</v>
      </c>
      <c r="E659" s="11" t="s">
        <v>53</v>
      </c>
      <c r="F659" s="11" t="s">
        <v>45</v>
      </c>
      <c r="G659" s="11" t="n">
        <v>69</v>
      </c>
      <c r="H659" s="21" t="n">
        <v>9</v>
      </c>
      <c r="I659" s="21" t="n">
        <v>4.5</v>
      </c>
      <c r="J659" s="22" t="n">
        <v>0.2</v>
      </c>
      <c r="K659" s="21" t="n">
        <f aca="false">G659*H659*(1-J659)</f>
        <v>496.8</v>
      </c>
      <c r="L659" s="21" t="n">
        <f aca="false">G659*I659</f>
        <v>310.5</v>
      </c>
      <c r="M659" s="21" t="n">
        <f aca="false">K659-L659</f>
        <v>186.3</v>
      </c>
      <c r="N659" s="11" t="str">
        <f aca="false">TEXT(B659,"mmm")</f>
        <v>Jul</v>
      </c>
    </row>
    <row r="660" customFormat="false" ht="15" hidden="false" customHeight="false" outlineLevel="0" collapsed="false">
      <c r="A660" s="11" t="s">
        <v>721</v>
      </c>
      <c r="B660" s="20" t="n">
        <v>45841</v>
      </c>
      <c r="C660" s="11" t="s">
        <v>18</v>
      </c>
      <c r="D660" s="11" t="s">
        <v>33</v>
      </c>
      <c r="E660" s="11" t="s">
        <v>51</v>
      </c>
      <c r="F660" s="11" t="s">
        <v>42</v>
      </c>
      <c r="G660" s="11" t="n">
        <v>5</v>
      </c>
      <c r="H660" s="21" t="n">
        <v>90</v>
      </c>
      <c r="I660" s="21" t="n">
        <v>58</v>
      </c>
      <c r="J660" s="22" t="n">
        <v>0</v>
      </c>
      <c r="K660" s="21" t="n">
        <f aca="false">G660*H660*(1-J660)</f>
        <v>450</v>
      </c>
      <c r="L660" s="21" t="n">
        <f aca="false">G660*I660</f>
        <v>290</v>
      </c>
      <c r="M660" s="21" t="n">
        <f aca="false">K660-L660</f>
        <v>160</v>
      </c>
      <c r="N660" s="11" t="str">
        <f aca="false">TEXT(B660,"mmm")</f>
        <v>Jul</v>
      </c>
    </row>
    <row r="661" customFormat="false" ht="15" hidden="false" customHeight="false" outlineLevel="0" collapsed="false">
      <c r="A661" s="11" t="s">
        <v>722</v>
      </c>
      <c r="B661" s="20" t="n">
        <v>45841</v>
      </c>
      <c r="C661" s="11" t="s">
        <v>20</v>
      </c>
      <c r="D661" s="11" t="s">
        <v>37</v>
      </c>
      <c r="E661" s="11" t="s">
        <v>49</v>
      </c>
      <c r="F661" s="11" t="s">
        <v>44</v>
      </c>
      <c r="G661" s="11" t="n">
        <v>40</v>
      </c>
      <c r="H661" s="21" t="n">
        <v>28</v>
      </c>
      <c r="I661" s="21" t="n">
        <v>17</v>
      </c>
      <c r="J661" s="22" t="n">
        <v>0.05</v>
      </c>
      <c r="K661" s="21" t="n">
        <f aca="false">G661*H661*(1-J661)</f>
        <v>1064</v>
      </c>
      <c r="L661" s="21" t="n">
        <f aca="false">G661*I661</f>
        <v>680</v>
      </c>
      <c r="M661" s="21" t="n">
        <f aca="false">K661-L661</f>
        <v>384</v>
      </c>
      <c r="N661" s="11" t="str">
        <f aca="false">TEXT(B661,"mmm")</f>
        <v>Jul</v>
      </c>
    </row>
    <row r="662" customFormat="false" ht="15" hidden="false" customHeight="false" outlineLevel="0" collapsed="false">
      <c r="A662" s="11" t="s">
        <v>723</v>
      </c>
      <c r="B662" s="20" t="n">
        <v>45841</v>
      </c>
      <c r="C662" s="11" t="s">
        <v>22</v>
      </c>
      <c r="D662" s="11" t="s">
        <v>33</v>
      </c>
      <c r="E662" s="11" t="s">
        <v>51</v>
      </c>
      <c r="F662" s="11" t="s">
        <v>45</v>
      </c>
      <c r="G662" s="11" t="n">
        <v>12</v>
      </c>
      <c r="H662" s="21" t="n">
        <v>90</v>
      </c>
      <c r="I662" s="21" t="n">
        <v>58</v>
      </c>
      <c r="J662" s="22" t="n">
        <v>0.15</v>
      </c>
      <c r="K662" s="21" t="n">
        <f aca="false">G662*H662*(1-J662)</f>
        <v>918</v>
      </c>
      <c r="L662" s="21" t="n">
        <f aca="false">G662*I662</f>
        <v>696</v>
      </c>
      <c r="M662" s="21" t="n">
        <f aca="false">K662-L662</f>
        <v>222</v>
      </c>
      <c r="N662" s="11" t="str">
        <f aca="false">TEXT(B662,"mmm")</f>
        <v>Jul</v>
      </c>
    </row>
    <row r="663" customFormat="false" ht="15" hidden="false" customHeight="false" outlineLevel="0" collapsed="false">
      <c r="A663" s="11" t="s">
        <v>724</v>
      </c>
      <c r="B663" s="20" t="n">
        <v>45841</v>
      </c>
      <c r="C663" s="11" t="s">
        <v>22</v>
      </c>
      <c r="D663" s="11" t="s">
        <v>35</v>
      </c>
      <c r="E663" s="11" t="s">
        <v>55</v>
      </c>
      <c r="F663" s="11" t="s">
        <v>44</v>
      </c>
      <c r="G663" s="11" t="n">
        <v>1</v>
      </c>
      <c r="H663" s="21" t="n">
        <v>150</v>
      </c>
      <c r="I663" s="21" t="n">
        <v>82</v>
      </c>
      <c r="J663" s="22" t="n">
        <v>0.05</v>
      </c>
      <c r="K663" s="21" t="n">
        <f aca="false">G663*H663*(1-J663)</f>
        <v>142.5</v>
      </c>
      <c r="L663" s="21" t="n">
        <f aca="false">G663*I663</f>
        <v>82</v>
      </c>
      <c r="M663" s="21" t="n">
        <f aca="false">K663-L663</f>
        <v>60.5</v>
      </c>
      <c r="N663" s="11" t="str">
        <f aca="false">TEXT(B663,"mmm")</f>
        <v>Jul</v>
      </c>
    </row>
    <row r="664" customFormat="false" ht="15" hidden="false" customHeight="false" outlineLevel="0" collapsed="false">
      <c r="A664" s="11" t="s">
        <v>725</v>
      </c>
      <c r="B664" s="20" t="n">
        <v>45841</v>
      </c>
      <c r="C664" s="11" t="s">
        <v>22</v>
      </c>
      <c r="D664" s="11" t="s">
        <v>35</v>
      </c>
      <c r="E664" s="11" t="s">
        <v>56</v>
      </c>
      <c r="F664" s="11" t="s">
        <v>44</v>
      </c>
      <c r="G664" s="11" t="n">
        <v>3</v>
      </c>
      <c r="H664" s="21" t="n">
        <v>110</v>
      </c>
      <c r="I664" s="21" t="n">
        <v>62</v>
      </c>
      <c r="J664" s="22" t="n">
        <v>0.05</v>
      </c>
      <c r="K664" s="21" t="n">
        <f aca="false">G664*H664*(1-J664)</f>
        <v>313.5</v>
      </c>
      <c r="L664" s="21" t="n">
        <f aca="false">G664*I664</f>
        <v>186</v>
      </c>
      <c r="M664" s="21" t="n">
        <f aca="false">K664-L664</f>
        <v>127.5</v>
      </c>
      <c r="N664" s="11" t="str">
        <f aca="false">TEXT(B664,"mmm")</f>
        <v>Jul</v>
      </c>
    </row>
    <row r="665" customFormat="false" ht="15" hidden="false" customHeight="false" outlineLevel="0" collapsed="false">
      <c r="A665" s="11" t="s">
        <v>726</v>
      </c>
      <c r="B665" s="20" t="n">
        <v>45841</v>
      </c>
      <c r="C665" s="11" t="s">
        <v>20</v>
      </c>
      <c r="D665" s="11" t="s">
        <v>37</v>
      </c>
      <c r="E665" s="11" t="s">
        <v>49</v>
      </c>
      <c r="F665" s="11" t="s">
        <v>44</v>
      </c>
      <c r="G665" s="11" t="n">
        <v>30</v>
      </c>
      <c r="H665" s="21" t="n">
        <v>28</v>
      </c>
      <c r="I665" s="21" t="n">
        <v>17</v>
      </c>
      <c r="J665" s="22" t="n">
        <v>0</v>
      </c>
      <c r="K665" s="21" t="n">
        <f aca="false">G665*H665*(1-J665)</f>
        <v>840</v>
      </c>
      <c r="L665" s="21" t="n">
        <f aca="false">G665*I665</f>
        <v>510</v>
      </c>
      <c r="M665" s="21" t="n">
        <f aca="false">K665-L665</f>
        <v>330</v>
      </c>
      <c r="N665" s="11" t="str">
        <f aca="false">TEXT(B665,"mmm")</f>
        <v>Jul</v>
      </c>
    </row>
    <row r="666" customFormat="false" ht="15" hidden="false" customHeight="false" outlineLevel="0" collapsed="false">
      <c r="A666" s="11" t="s">
        <v>727</v>
      </c>
      <c r="B666" s="20" t="n">
        <v>45842</v>
      </c>
      <c r="C666" s="11" t="s">
        <v>24</v>
      </c>
      <c r="D666" s="11" t="s">
        <v>33</v>
      </c>
      <c r="E666" s="11" t="s">
        <v>51</v>
      </c>
      <c r="F666" s="11" t="s">
        <v>44</v>
      </c>
      <c r="G666" s="11" t="n">
        <v>4</v>
      </c>
      <c r="H666" s="21" t="n">
        <v>90</v>
      </c>
      <c r="I666" s="21" t="n">
        <v>58</v>
      </c>
      <c r="J666" s="22" t="n">
        <v>0</v>
      </c>
      <c r="K666" s="21" t="n">
        <f aca="false">G666*H666*(1-J666)</f>
        <v>360</v>
      </c>
      <c r="L666" s="21" t="n">
        <f aca="false">G666*I666</f>
        <v>232</v>
      </c>
      <c r="M666" s="21" t="n">
        <f aca="false">K666-L666</f>
        <v>128</v>
      </c>
      <c r="N666" s="11" t="str">
        <f aca="false">TEXT(B666,"mmm")</f>
        <v>Jul</v>
      </c>
    </row>
    <row r="667" customFormat="false" ht="15" hidden="false" customHeight="false" outlineLevel="0" collapsed="false">
      <c r="A667" s="11" t="s">
        <v>728</v>
      </c>
      <c r="B667" s="20" t="n">
        <v>45842</v>
      </c>
      <c r="C667" s="11" t="s">
        <v>22</v>
      </c>
      <c r="D667" s="11" t="s">
        <v>37</v>
      </c>
      <c r="E667" s="11" t="s">
        <v>53</v>
      </c>
      <c r="F667" s="11" t="s">
        <v>44</v>
      </c>
      <c r="G667" s="11" t="n">
        <v>37</v>
      </c>
      <c r="H667" s="21" t="n">
        <v>9</v>
      </c>
      <c r="I667" s="21" t="n">
        <v>4.5</v>
      </c>
      <c r="J667" s="22" t="n">
        <v>0</v>
      </c>
      <c r="K667" s="21" t="n">
        <f aca="false">G667*H667*(1-J667)</f>
        <v>333</v>
      </c>
      <c r="L667" s="21" t="n">
        <f aca="false">G667*I667</f>
        <v>166.5</v>
      </c>
      <c r="M667" s="21" t="n">
        <f aca="false">K667-L667</f>
        <v>166.5</v>
      </c>
      <c r="N667" s="11" t="str">
        <f aca="false">TEXT(B667,"mmm")</f>
        <v>Jul</v>
      </c>
    </row>
    <row r="668" customFormat="false" ht="15" hidden="false" customHeight="false" outlineLevel="0" collapsed="false">
      <c r="A668" s="11" t="s">
        <v>729</v>
      </c>
      <c r="B668" s="20" t="n">
        <v>45842</v>
      </c>
      <c r="C668" s="11" t="s">
        <v>20</v>
      </c>
      <c r="D668" s="11" t="s">
        <v>33</v>
      </c>
      <c r="E668" s="11" t="s">
        <v>51</v>
      </c>
      <c r="F668" s="11" t="s">
        <v>44</v>
      </c>
      <c r="G668" s="11" t="n">
        <v>2</v>
      </c>
      <c r="H668" s="21" t="n">
        <v>90</v>
      </c>
      <c r="I668" s="21" t="n">
        <v>58</v>
      </c>
      <c r="J668" s="22" t="n">
        <v>0.05</v>
      </c>
      <c r="K668" s="21" t="n">
        <f aca="false">G668*H668*(1-J668)</f>
        <v>171</v>
      </c>
      <c r="L668" s="21" t="n">
        <f aca="false">G668*I668</f>
        <v>116</v>
      </c>
      <c r="M668" s="21" t="n">
        <f aca="false">K668-L668</f>
        <v>55</v>
      </c>
      <c r="N668" s="11" t="str">
        <f aca="false">TEXT(B668,"mmm")</f>
        <v>Jul</v>
      </c>
    </row>
    <row r="669" customFormat="false" ht="15" hidden="false" customHeight="false" outlineLevel="0" collapsed="false">
      <c r="A669" s="11" t="s">
        <v>730</v>
      </c>
      <c r="B669" s="20" t="n">
        <v>45843</v>
      </c>
      <c r="C669" s="11" t="s">
        <v>18</v>
      </c>
      <c r="D669" s="11" t="s">
        <v>37</v>
      </c>
      <c r="E669" s="11" t="s">
        <v>49</v>
      </c>
      <c r="F669" s="11" t="s">
        <v>45</v>
      </c>
      <c r="G669" s="11" t="n">
        <v>69</v>
      </c>
      <c r="H669" s="21" t="n">
        <v>28</v>
      </c>
      <c r="I669" s="21" t="n">
        <v>17</v>
      </c>
      <c r="J669" s="22" t="n">
        <v>0.2</v>
      </c>
      <c r="K669" s="21" t="n">
        <f aca="false">G669*H669*(1-J669)</f>
        <v>1545.6</v>
      </c>
      <c r="L669" s="21" t="n">
        <f aca="false">G669*I669</f>
        <v>1173</v>
      </c>
      <c r="M669" s="21" t="n">
        <f aca="false">K669-L669</f>
        <v>372.6</v>
      </c>
      <c r="N669" s="11" t="str">
        <f aca="false">TEXT(B669,"mmm")</f>
        <v>Jul</v>
      </c>
    </row>
    <row r="670" customFormat="false" ht="15" hidden="false" customHeight="false" outlineLevel="0" collapsed="false">
      <c r="A670" s="11" t="s">
        <v>731</v>
      </c>
      <c r="B670" s="20" t="n">
        <v>45843</v>
      </c>
      <c r="C670" s="11" t="s">
        <v>18</v>
      </c>
      <c r="D670" s="11" t="s">
        <v>37</v>
      </c>
      <c r="E670" s="11" t="s">
        <v>53</v>
      </c>
      <c r="F670" s="11" t="s">
        <v>44</v>
      </c>
      <c r="G670" s="11" t="n">
        <v>33</v>
      </c>
      <c r="H670" s="21" t="n">
        <v>9</v>
      </c>
      <c r="I670" s="21" t="n">
        <v>4.5</v>
      </c>
      <c r="J670" s="22" t="n">
        <v>0</v>
      </c>
      <c r="K670" s="21" t="n">
        <f aca="false">G670*H670*(1-J670)</f>
        <v>297</v>
      </c>
      <c r="L670" s="21" t="n">
        <f aca="false">G670*I670</f>
        <v>148.5</v>
      </c>
      <c r="M670" s="21" t="n">
        <f aca="false">K670-L670</f>
        <v>148.5</v>
      </c>
      <c r="N670" s="11" t="str">
        <f aca="false">TEXT(B670,"mmm")</f>
        <v>Jul</v>
      </c>
    </row>
    <row r="671" customFormat="false" ht="15" hidden="false" customHeight="false" outlineLevel="0" collapsed="false">
      <c r="A671" s="11" t="s">
        <v>732</v>
      </c>
      <c r="B671" s="20" t="n">
        <v>45843</v>
      </c>
      <c r="C671" s="11" t="s">
        <v>18</v>
      </c>
      <c r="D671" s="11" t="s">
        <v>37</v>
      </c>
      <c r="E671" s="11" t="s">
        <v>49</v>
      </c>
      <c r="F671" s="11" t="s">
        <v>42</v>
      </c>
      <c r="G671" s="11" t="n">
        <v>15</v>
      </c>
      <c r="H671" s="21" t="n">
        <v>28</v>
      </c>
      <c r="I671" s="21" t="n">
        <v>17</v>
      </c>
      <c r="J671" s="22" t="n">
        <v>0</v>
      </c>
      <c r="K671" s="21" t="n">
        <f aca="false">G671*H671*(1-J671)</f>
        <v>420</v>
      </c>
      <c r="L671" s="21" t="n">
        <f aca="false">G671*I671</f>
        <v>255</v>
      </c>
      <c r="M671" s="21" t="n">
        <f aca="false">K671-L671</f>
        <v>165</v>
      </c>
      <c r="N671" s="11" t="str">
        <f aca="false">TEXT(B671,"mmm")</f>
        <v>Jul</v>
      </c>
    </row>
    <row r="672" customFormat="false" ht="15" hidden="false" customHeight="false" outlineLevel="0" collapsed="false">
      <c r="A672" s="11" t="s">
        <v>733</v>
      </c>
      <c r="B672" s="20" t="n">
        <v>45843</v>
      </c>
      <c r="C672" s="11" t="s">
        <v>20</v>
      </c>
      <c r="D672" s="11" t="s">
        <v>33</v>
      </c>
      <c r="E672" s="11" t="s">
        <v>51</v>
      </c>
      <c r="F672" s="11" t="s">
        <v>45</v>
      </c>
      <c r="G672" s="11" t="n">
        <v>6</v>
      </c>
      <c r="H672" s="21" t="n">
        <v>90</v>
      </c>
      <c r="I672" s="21" t="n">
        <v>58</v>
      </c>
      <c r="J672" s="22" t="n">
        <v>0.15</v>
      </c>
      <c r="K672" s="21" t="n">
        <f aca="false">G672*H672*(1-J672)</f>
        <v>459</v>
      </c>
      <c r="L672" s="21" t="n">
        <f aca="false">G672*I672</f>
        <v>348</v>
      </c>
      <c r="M672" s="21" t="n">
        <f aca="false">K672-L672</f>
        <v>111</v>
      </c>
      <c r="N672" s="11" t="str">
        <f aca="false">TEXT(B672,"mmm")</f>
        <v>Jul</v>
      </c>
    </row>
    <row r="673" customFormat="false" ht="15" hidden="false" customHeight="false" outlineLevel="0" collapsed="false">
      <c r="A673" s="11" t="s">
        <v>734</v>
      </c>
      <c r="B673" s="20" t="n">
        <v>45843</v>
      </c>
      <c r="C673" s="11" t="s">
        <v>22</v>
      </c>
      <c r="D673" s="11" t="s">
        <v>33</v>
      </c>
      <c r="E673" s="11" t="s">
        <v>51</v>
      </c>
      <c r="F673" s="11" t="s">
        <v>44</v>
      </c>
      <c r="G673" s="11" t="n">
        <v>4</v>
      </c>
      <c r="H673" s="21" t="n">
        <v>90</v>
      </c>
      <c r="I673" s="21" t="n">
        <v>58</v>
      </c>
      <c r="J673" s="22" t="n">
        <v>0.05</v>
      </c>
      <c r="K673" s="21" t="n">
        <f aca="false">G673*H673*(1-J673)</f>
        <v>342</v>
      </c>
      <c r="L673" s="21" t="n">
        <f aca="false">G673*I673</f>
        <v>232</v>
      </c>
      <c r="M673" s="21" t="n">
        <f aca="false">K673-L673</f>
        <v>110</v>
      </c>
      <c r="N673" s="11" t="str">
        <f aca="false">TEXT(B673,"mmm")</f>
        <v>Jul</v>
      </c>
    </row>
    <row r="674" customFormat="false" ht="15" hidden="false" customHeight="false" outlineLevel="0" collapsed="false">
      <c r="A674" s="11" t="s">
        <v>735</v>
      </c>
      <c r="B674" s="20" t="n">
        <v>45843</v>
      </c>
      <c r="C674" s="11" t="s">
        <v>24</v>
      </c>
      <c r="D674" s="11" t="s">
        <v>35</v>
      </c>
      <c r="E674" s="11" t="s">
        <v>56</v>
      </c>
      <c r="F674" s="11" t="s">
        <v>45</v>
      </c>
      <c r="G674" s="11" t="n">
        <v>3</v>
      </c>
      <c r="H674" s="21" t="n">
        <v>110</v>
      </c>
      <c r="I674" s="21" t="n">
        <v>62</v>
      </c>
      <c r="J674" s="22" t="n">
        <v>0.2</v>
      </c>
      <c r="K674" s="21" t="n">
        <f aca="false">G674*H674*(1-J674)</f>
        <v>264</v>
      </c>
      <c r="L674" s="21" t="n">
        <f aca="false">G674*I674</f>
        <v>186</v>
      </c>
      <c r="M674" s="21" t="n">
        <f aca="false">K674-L674</f>
        <v>78</v>
      </c>
      <c r="N674" s="11" t="str">
        <f aca="false">TEXT(B674,"mmm")</f>
        <v>Jul</v>
      </c>
    </row>
    <row r="675" customFormat="false" ht="15" hidden="false" customHeight="false" outlineLevel="0" collapsed="false">
      <c r="A675" s="11" t="s">
        <v>736</v>
      </c>
      <c r="B675" s="20" t="n">
        <v>45844</v>
      </c>
      <c r="C675" s="11" t="s">
        <v>22</v>
      </c>
      <c r="D675" s="11" t="s">
        <v>37</v>
      </c>
      <c r="E675" s="11" t="s">
        <v>52</v>
      </c>
      <c r="F675" s="11" t="s">
        <v>42</v>
      </c>
      <c r="G675" s="11" t="n">
        <v>30</v>
      </c>
      <c r="H675" s="21" t="n">
        <v>12</v>
      </c>
      <c r="I675" s="21" t="n">
        <v>6</v>
      </c>
      <c r="J675" s="22" t="n">
        <v>0</v>
      </c>
      <c r="K675" s="21" t="n">
        <f aca="false">G675*H675*(1-J675)</f>
        <v>360</v>
      </c>
      <c r="L675" s="21" t="n">
        <f aca="false">G675*I675</f>
        <v>180</v>
      </c>
      <c r="M675" s="21" t="n">
        <f aca="false">K675-L675</f>
        <v>180</v>
      </c>
      <c r="N675" s="11" t="str">
        <f aca="false">TEXT(B675,"mmm")</f>
        <v>Jul</v>
      </c>
    </row>
    <row r="676" customFormat="false" ht="15" hidden="false" customHeight="false" outlineLevel="0" collapsed="false">
      <c r="A676" s="11" t="s">
        <v>737</v>
      </c>
      <c r="B676" s="20" t="n">
        <v>45844</v>
      </c>
      <c r="C676" s="11" t="s">
        <v>22</v>
      </c>
      <c r="D676" s="11" t="s">
        <v>33</v>
      </c>
      <c r="E676" s="11" t="s">
        <v>51</v>
      </c>
      <c r="F676" s="11" t="s">
        <v>42</v>
      </c>
      <c r="G676" s="11" t="n">
        <v>2</v>
      </c>
      <c r="H676" s="21" t="n">
        <v>90</v>
      </c>
      <c r="I676" s="21" t="n">
        <v>58</v>
      </c>
      <c r="J676" s="22" t="n">
        <v>0.1</v>
      </c>
      <c r="K676" s="21" t="n">
        <f aca="false">G676*H676*(1-J676)</f>
        <v>162</v>
      </c>
      <c r="L676" s="21" t="n">
        <f aca="false">G676*I676</f>
        <v>116</v>
      </c>
      <c r="M676" s="21" t="n">
        <f aca="false">K676-L676</f>
        <v>46</v>
      </c>
      <c r="N676" s="11" t="str">
        <f aca="false">TEXT(B676,"mmm")</f>
        <v>Jul</v>
      </c>
    </row>
    <row r="677" customFormat="false" ht="15" hidden="false" customHeight="false" outlineLevel="0" collapsed="false">
      <c r="A677" s="11" t="s">
        <v>738</v>
      </c>
      <c r="B677" s="20" t="n">
        <v>45844</v>
      </c>
      <c r="C677" s="11" t="s">
        <v>18</v>
      </c>
      <c r="D677" s="11" t="s">
        <v>37</v>
      </c>
      <c r="E677" s="11" t="s">
        <v>49</v>
      </c>
      <c r="F677" s="11" t="s">
        <v>45</v>
      </c>
      <c r="G677" s="11" t="n">
        <v>30</v>
      </c>
      <c r="H677" s="21" t="n">
        <v>28</v>
      </c>
      <c r="I677" s="21" t="n">
        <v>17</v>
      </c>
      <c r="J677" s="22" t="n">
        <v>0.1</v>
      </c>
      <c r="K677" s="21" t="n">
        <f aca="false">G677*H677*(1-J677)</f>
        <v>756</v>
      </c>
      <c r="L677" s="21" t="n">
        <f aca="false">G677*I677</f>
        <v>510</v>
      </c>
      <c r="M677" s="21" t="n">
        <f aca="false">K677-L677</f>
        <v>246</v>
      </c>
      <c r="N677" s="11" t="str">
        <f aca="false">TEXT(B677,"mmm")</f>
        <v>Jul</v>
      </c>
    </row>
    <row r="678" customFormat="false" ht="15" hidden="false" customHeight="false" outlineLevel="0" collapsed="false">
      <c r="A678" s="11" t="s">
        <v>739</v>
      </c>
      <c r="B678" s="20" t="n">
        <v>45844</v>
      </c>
      <c r="C678" s="11" t="s">
        <v>24</v>
      </c>
      <c r="D678" s="11" t="s">
        <v>33</v>
      </c>
      <c r="E678" s="11" t="s">
        <v>51</v>
      </c>
      <c r="F678" s="11" t="s">
        <v>42</v>
      </c>
      <c r="G678" s="11" t="n">
        <v>3</v>
      </c>
      <c r="H678" s="21" t="n">
        <v>90</v>
      </c>
      <c r="I678" s="21" t="n">
        <v>58</v>
      </c>
      <c r="J678" s="22" t="n">
        <v>0.05</v>
      </c>
      <c r="K678" s="21" t="n">
        <f aca="false">G678*H678*(1-J678)</f>
        <v>256.5</v>
      </c>
      <c r="L678" s="21" t="n">
        <f aca="false">G678*I678</f>
        <v>174</v>
      </c>
      <c r="M678" s="21" t="n">
        <f aca="false">K678-L678</f>
        <v>82.5</v>
      </c>
      <c r="N678" s="11" t="str">
        <f aca="false">TEXT(B678,"mmm")</f>
        <v>Jul</v>
      </c>
    </row>
    <row r="679" customFormat="false" ht="15" hidden="false" customHeight="false" outlineLevel="0" collapsed="false">
      <c r="A679" s="11" t="s">
        <v>740</v>
      </c>
      <c r="B679" s="20" t="n">
        <v>45844</v>
      </c>
      <c r="C679" s="11" t="s">
        <v>18</v>
      </c>
      <c r="D679" s="11" t="s">
        <v>33</v>
      </c>
      <c r="E679" s="11" t="s">
        <v>51</v>
      </c>
      <c r="F679" s="11" t="s">
        <v>42</v>
      </c>
      <c r="G679" s="11" t="n">
        <v>5</v>
      </c>
      <c r="H679" s="21" t="n">
        <v>90</v>
      </c>
      <c r="I679" s="21" t="n">
        <v>58</v>
      </c>
      <c r="J679" s="22" t="n">
        <v>0.1</v>
      </c>
      <c r="K679" s="21" t="n">
        <f aca="false">G679*H679*(1-J679)</f>
        <v>405</v>
      </c>
      <c r="L679" s="21" t="n">
        <f aca="false">G679*I679</f>
        <v>290</v>
      </c>
      <c r="M679" s="21" t="n">
        <f aca="false">K679-L679</f>
        <v>115</v>
      </c>
      <c r="N679" s="11" t="str">
        <f aca="false">TEXT(B679,"mmm")</f>
        <v>Jul</v>
      </c>
    </row>
    <row r="680" customFormat="false" ht="15" hidden="false" customHeight="false" outlineLevel="0" collapsed="false">
      <c r="A680" s="11" t="s">
        <v>741</v>
      </c>
      <c r="B680" s="20" t="n">
        <v>45845</v>
      </c>
      <c r="C680" s="11" t="s">
        <v>24</v>
      </c>
      <c r="D680" s="11" t="s">
        <v>33</v>
      </c>
      <c r="E680" s="11" t="s">
        <v>48</v>
      </c>
      <c r="F680" s="11" t="s">
        <v>45</v>
      </c>
      <c r="G680" s="11" t="n">
        <v>1</v>
      </c>
      <c r="H680" s="21" t="n">
        <v>520</v>
      </c>
      <c r="I680" s="21" t="n">
        <v>415</v>
      </c>
      <c r="J680" s="22" t="n">
        <v>0.2</v>
      </c>
      <c r="K680" s="21" t="n">
        <f aca="false">G680*H680*(1-J680)</f>
        <v>416</v>
      </c>
      <c r="L680" s="21" t="n">
        <f aca="false">G680*I680</f>
        <v>415</v>
      </c>
      <c r="M680" s="21" t="n">
        <f aca="false">K680-L680</f>
        <v>1</v>
      </c>
      <c r="N680" s="11" t="str">
        <f aca="false">TEXT(B680,"mmm")</f>
        <v>Jul</v>
      </c>
    </row>
    <row r="681" customFormat="false" ht="15" hidden="false" customHeight="false" outlineLevel="0" collapsed="false">
      <c r="A681" s="11" t="s">
        <v>742</v>
      </c>
      <c r="B681" s="20" t="n">
        <v>45845</v>
      </c>
      <c r="C681" s="11" t="s">
        <v>18</v>
      </c>
      <c r="D681" s="11" t="s">
        <v>37</v>
      </c>
      <c r="E681" s="11" t="s">
        <v>49</v>
      </c>
      <c r="F681" s="11" t="s">
        <v>45</v>
      </c>
      <c r="G681" s="11" t="n">
        <v>105</v>
      </c>
      <c r="H681" s="21" t="n">
        <v>28</v>
      </c>
      <c r="I681" s="21" t="n">
        <v>17</v>
      </c>
      <c r="J681" s="22" t="n">
        <v>0.1</v>
      </c>
      <c r="K681" s="21" t="n">
        <f aca="false">G681*H681*(1-J681)</f>
        <v>2646</v>
      </c>
      <c r="L681" s="21" t="n">
        <f aca="false">G681*I681</f>
        <v>1785</v>
      </c>
      <c r="M681" s="21" t="n">
        <f aca="false">K681-L681</f>
        <v>861</v>
      </c>
      <c r="N681" s="11" t="str">
        <f aca="false">TEXT(B681,"mmm")</f>
        <v>Jul</v>
      </c>
    </row>
    <row r="682" customFormat="false" ht="15" hidden="false" customHeight="false" outlineLevel="0" collapsed="false">
      <c r="A682" s="11" t="s">
        <v>743</v>
      </c>
      <c r="B682" s="20" t="n">
        <v>45845</v>
      </c>
      <c r="C682" s="11" t="s">
        <v>20</v>
      </c>
      <c r="D682" s="11" t="s">
        <v>37</v>
      </c>
      <c r="E682" s="11" t="s">
        <v>53</v>
      </c>
      <c r="F682" s="11" t="s">
        <v>44</v>
      </c>
      <c r="G682" s="11" t="n">
        <v>11</v>
      </c>
      <c r="H682" s="21" t="n">
        <v>9</v>
      </c>
      <c r="I682" s="21" t="n">
        <v>4.5</v>
      </c>
      <c r="J682" s="22" t="n">
        <v>0.05</v>
      </c>
      <c r="K682" s="21" t="n">
        <f aca="false">G682*H682*(1-J682)</f>
        <v>94.05</v>
      </c>
      <c r="L682" s="21" t="n">
        <f aca="false">G682*I682</f>
        <v>49.5</v>
      </c>
      <c r="M682" s="21" t="n">
        <f aca="false">K682-L682</f>
        <v>44.55</v>
      </c>
      <c r="N682" s="11" t="str">
        <f aca="false">TEXT(B682,"mmm")</f>
        <v>Jul</v>
      </c>
    </row>
    <row r="683" customFormat="false" ht="15" hidden="false" customHeight="false" outlineLevel="0" collapsed="false">
      <c r="A683" s="11" t="s">
        <v>744</v>
      </c>
      <c r="B683" s="20" t="n">
        <v>45845</v>
      </c>
      <c r="C683" s="11" t="s">
        <v>20</v>
      </c>
      <c r="D683" s="11" t="s">
        <v>37</v>
      </c>
      <c r="E683" s="11" t="s">
        <v>53</v>
      </c>
      <c r="F683" s="11" t="s">
        <v>42</v>
      </c>
      <c r="G683" s="11" t="n">
        <v>21</v>
      </c>
      <c r="H683" s="21" t="n">
        <v>9</v>
      </c>
      <c r="I683" s="21" t="n">
        <v>4.5</v>
      </c>
      <c r="J683" s="22" t="n">
        <v>0.1</v>
      </c>
      <c r="K683" s="21" t="n">
        <f aca="false">G683*H683*(1-J683)</f>
        <v>170.1</v>
      </c>
      <c r="L683" s="21" t="n">
        <f aca="false">G683*I683</f>
        <v>94.5</v>
      </c>
      <c r="M683" s="21" t="n">
        <f aca="false">K683-L683</f>
        <v>75.6</v>
      </c>
      <c r="N683" s="11" t="str">
        <f aca="false">TEXT(B683,"mmm")</f>
        <v>Jul</v>
      </c>
    </row>
    <row r="684" customFormat="false" ht="15" hidden="false" customHeight="false" outlineLevel="0" collapsed="false">
      <c r="A684" s="11" t="s">
        <v>745</v>
      </c>
      <c r="B684" s="20" t="n">
        <v>45845</v>
      </c>
      <c r="C684" s="11" t="s">
        <v>22</v>
      </c>
      <c r="D684" s="11" t="s">
        <v>35</v>
      </c>
      <c r="E684" s="11" t="s">
        <v>56</v>
      </c>
      <c r="F684" s="11" t="s">
        <v>45</v>
      </c>
      <c r="G684" s="11" t="n">
        <v>4</v>
      </c>
      <c r="H684" s="21" t="n">
        <v>110</v>
      </c>
      <c r="I684" s="21" t="n">
        <v>62</v>
      </c>
      <c r="J684" s="22" t="n">
        <v>0.15</v>
      </c>
      <c r="K684" s="21" t="n">
        <f aca="false">G684*H684*(1-J684)</f>
        <v>374</v>
      </c>
      <c r="L684" s="21" t="n">
        <f aca="false">G684*I684</f>
        <v>248</v>
      </c>
      <c r="M684" s="21" t="n">
        <f aca="false">K684-L684</f>
        <v>126</v>
      </c>
      <c r="N684" s="11" t="str">
        <f aca="false">TEXT(B684,"mmm")</f>
        <v>Jul</v>
      </c>
    </row>
    <row r="685" customFormat="false" ht="15" hidden="false" customHeight="false" outlineLevel="0" collapsed="false">
      <c r="A685" s="11" t="s">
        <v>746</v>
      </c>
      <c r="B685" s="20" t="n">
        <v>45845</v>
      </c>
      <c r="C685" s="11" t="s">
        <v>20</v>
      </c>
      <c r="D685" s="11" t="s">
        <v>35</v>
      </c>
      <c r="E685" s="11" t="s">
        <v>55</v>
      </c>
      <c r="F685" s="11" t="s">
        <v>44</v>
      </c>
      <c r="G685" s="11" t="n">
        <v>4</v>
      </c>
      <c r="H685" s="21" t="n">
        <v>150</v>
      </c>
      <c r="I685" s="21" t="n">
        <v>82</v>
      </c>
      <c r="J685" s="22" t="n">
        <v>0</v>
      </c>
      <c r="K685" s="21" t="n">
        <f aca="false">G685*H685*(1-J685)</f>
        <v>600</v>
      </c>
      <c r="L685" s="21" t="n">
        <f aca="false">G685*I685</f>
        <v>328</v>
      </c>
      <c r="M685" s="21" t="n">
        <f aca="false">K685-L685</f>
        <v>272</v>
      </c>
      <c r="N685" s="11" t="str">
        <f aca="false">TEXT(B685,"mmm")</f>
        <v>Jul</v>
      </c>
    </row>
    <row r="686" customFormat="false" ht="15" hidden="false" customHeight="false" outlineLevel="0" collapsed="false">
      <c r="A686" s="11" t="s">
        <v>747</v>
      </c>
      <c r="B686" s="20" t="n">
        <v>45845</v>
      </c>
      <c r="C686" s="11" t="s">
        <v>18</v>
      </c>
      <c r="D686" s="11" t="s">
        <v>37</v>
      </c>
      <c r="E686" s="11" t="s">
        <v>52</v>
      </c>
      <c r="F686" s="11" t="s">
        <v>42</v>
      </c>
      <c r="G686" s="11" t="n">
        <v>38</v>
      </c>
      <c r="H686" s="21" t="n">
        <v>12</v>
      </c>
      <c r="I686" s="21" t="n">
        <v>6</v>
      </c>
      <c r="J686" s="22" t="n">
        <v>0</v>
      </c>
      <c r="K686" s="21" t="n">
        <f aca="false">G686*H686*(1-J686)</f>
        <v>456</v>
      </c>
      <c r="L686" s="21" t="n">
        <f aca="false">G686*I686</f>
        <v>228</v>
      </c>
      <c r="M686" s="21" t="n">
        <f aca="false">K686-L686</f>
        <v>228</v>
      </c>
      <c r="N686" s="11" t="str">
        <f aca="false">TEXT(B686,"mmm")</f>
        <v>Jul</v>
      </c>
    </row>
    <row r="687" customFormat="false" ht="15" hidden="false" customHeight="false" outlineLevel="0" collapsed="false">
      <c r="A687" s="11" t="s">
        <v>748</v>
      </c>
      <c r="B687" s="20" t="n">
        <v>45846</v>
      </c>
      <c r="C687" s="11" t="s">
        <v>18</v>
      </c>
      <c r="D687" s="11" t="s">
        <v>33</v>
      </c>
      <c r="E687" s="11" t="s">
        <v>50</v>
      </c>
      <c r="F687" s="11" t="s">
        <v>42</v>
      </c>
      <c r="G687" s="11" t="n">
        <v>2</v>
      </c>
      <c r="H687" s="21" t="n">
        <v>780</v>
      </c>
      <c r="I687" s="21" t="n">
        <v>600</v>
      </c>
      <c r="J687" s="22" t="n">
        <v>0.05</v>
      </c>
      <c r="K687" s="21" t="n">
        <f aca="false">G687*H687*(1-J687)</f>
        <v>1482</v>
      </c>
      <c r="L687" s="21" t="n">
        <f aca="false">G687*I687</f>
        <v>1200</v>
      </c>
      <c r="M687" s="21" t="n">
        <f aca="false">K687-L687</f>
        <v>282</v>
      </c>
      <c r="N687" s="11" t="str">
        <f aca="false">TEXT(B687,"mmm")</f>
        <v>Jul</v>
      </c>
    </row>
    <row r="688" customFormat="false" ht="15" hidden="false" customHeight="false" outlineLevel="0" collapsed="false">
      <c r="A688" s="11" t="s">
        <v>749</v>
      </c>
      <c r="B688" s="20" t="n">
        <v>45846</v>
      </c>
      <c r="C688" s="11" t="s">
        <v>20</v>
      </c>
      <c r="D688" s="11" t="s">
        <v>35</v>
      </c>
      <c r="E688" s="11" t="s">
        <v>56</v>
      </c>
      <c r="F688" s="11" t="s">
        <v>42</v>
      </c>
      <c r="G688" s="11" t="n">
        <v>4</v>
      </c>
      <c r="H688" s="21" t="n">
        <v>110</v>
      </c>
      <c r="I688" s="21" t="n">
        <v>62</v>
      </c>
      <c r="J688" s="22" t="n">
        <v>0.05</v>
      </c>
      <c r="K688" s="21" t="n">
        <f aca="false">G688*H688*(1-J688)</f>
        <v>418</v>
      </c>
      <c r="L688" s="21" t="n">
        <f aca="false">G688*I688</f>
        <v>248</v>
      </c>
      <c r="M688" s="21" t="n">
        <f aca="false">K688-L688</f>
        <v>170</v>
      </c>
      <c r="N688" s="11" t="str">
        <f aca="false">TEXT(B688,"mmm")</f>
        <v>Jul</v>
      </c>
    </row>
    <row r="689" customFormat="false" ht="15" hidden="false" customHeight="false" outlineLevel="0" collapsed="false">
      <c r="A689" s="11" t="s">
        <v>750</v>
      </c>
      <c r="B689" s="20" t="n">
        <v>45846</v>
      </c>
      <c r="C689" s="11" t="s">
        <v>18</v>
      </c>
      <c r="D689" s="11" t="s">
        <v>37</v>
      </c>
      <c r="E689" s="11" t="s">
        <v>49</v>
      </c>
      <c r="F689" s="11" t="s">
        <v>44</v>
      </c>
      <c r="G689" s="11" t="n">
        <v>8</v>
      </c>
      <c r="H689" s="21" t="n">
        <v>28</v>
      </c>
      <c r="I689" s="21" t="n">
        <v>17</v>
      </c>
      <c r="J689" s="22" t="n">
        <v>0</v>
      </c>
      <c r="K689" s="21" t="n">
        <f aca="false">G689*H689*(1-J689)</f>
        <v>224</v>
      </c>
      <c r="L689" s="21" t="n">
        <f aca="false">G689*I689</f>
        <v>136</v>
      </c>
      <c r="M689" s="21" t="n">
        <f aca="false">K689-L689</f>
        <v>88</v>
      </c>
      <c r="N689" s="11" t="str">
        <f aca="false">TEXT(B689,"mmm")</f>
        <v>Jul</v>
      </c>
    </row>
    <row r="690" customFormat="false" ht="15" hidden="false" customHeight="false" outlineLevel="0" collapsed="false">
      <c r="A690" s="11" t="s">
        <v>751</v>
      </c>
      <c r="B690" s="20" t="n">
        <v>45847</v>
      </c>
      <c r="C690" s="11" t="s">
        <v>18</v>
      </c>
      <c r="D690" s="11" t="s">
        <v>37</v>
      </c>
      <c r="E690" s="11" t="s">
        <v>53</v>
      </c>
      <c r="F690" s="11" t="s">
        <v>44</v>
      </c>
      <c r="G690" s="11" t="n">
        <v>15</v>
      </c>
      <c r="H690" s="21" t="n">
        <v>9</v>
      </c>
      <c r="I690" s="21" t="n">
        <v>4.5</v>
      </c>
      <c r="J690" s="22" t="n">
        <v>0.1</v>
      </c>
      <c r="K690" s="21" t="n">
        <f aca="false">G690*H690*(1-J690)</f>
        <v>121.5</v>
      </c>
      <c r="L690" s="21" t="n">
        <f aca="false">G690*I690</f>
        <v>67.5</v>
      </c>
      <c r="M690" s="21" t="n">
        <f aca="false">K690-L690</f>
        <v>54</v>
      </c>
      <c r="N690" s="11" t="str">
        <f aca="false">TEXT(B690,"mmm")</f>
        <v>Jul</v>
      </c>
    </row>
    <row r="691" customFormat="false" ht="15" hidden="false" customHeight="false" outlineLevel="0" collapsed="false">
      <c r="A691" s="11" t="s">
        <v>752</v>
      </c>
      <c r="B691" s="20" t="n">
        <v>45847</v>
      </c>
      <c r="C691" s="11" t="s">
        <v>18</v>
      </c>
      <c r="D691" s="11" t="s">
        <v>37</v>
      </c>
      <c r="E691" s="11" t="s">
        <v>49</v>
      </c>
      <c r="F691" s="11" t="s">
        <v>44</v>
      </c>
      <c r="G691" s="11" t="n">
        <v>14</v>
      </c>
      <c r="H691" s="21" t="n">
        <v>28</v>
      </c>
      <c r="I691" s="21" t="n">
        <v>17</v>
      </c>
      <c r="J691" s="22" t="n">
        <v>0.1</v>
      </c>
      <c r="K691" s="21" t="n">
        <f aca="false">G691*H691*(1-J691)</f>
        <v>352.8</v>
      </c>
      <c r="L691" s="21" t="n">
        <f aca="false">G691*I691</f>
        <v>238</v>
      </c>
      <c r="M691" s="21" t="n">
        <f aca="false">K691-L691</f>
        <v>114.8</v>
      </c>
      <c r="N691" s="11" t="str">
        <f aca="false">TEXT(B691,"mmm")</f>
        <v>Jul</v>
      </c>
    </row>
    <row r="692" customFormat="false" ht="15" hidden="false" customHeight="false" outlineLevel="0" collapsed="false">
      <c r="A692" s="11" t="s">
        <v>753</v>
      </c>
      <c r="B692" s="20" t="n">
        <v>45848</v>
      </c>
      <c r="C692" s="11" t="s">
        <v>22</v>
      </c>
      <c r="D692" s="11" t="s">
        <v>33</v>
      </c>
      <c r="E692" s="11" t="s">
        <v>51</v>
      </c>
      <c r="F692" s="11" t="s">
        <v>45</v>
      </c>
      <c r="G692" s="11" t="n">
        <v>18</v>
      </c>
      <c r="H692" s="21" t="n">
        <v>90</v>
      </c>
      <c r="I692" s="21" t="n">
        <v>58</v>
      </c>
      <c r="J692" s="22" t="n">
        <v>0.1</v>
      </c>
      <c r="K692" s="21" t="n">
        <f aca="false">G692*H692*(1-J692)</f>
        <v>1458</v>
      </c>
      <c r="L692" s="21" t="n">
        <f aca="false">G692*I692</f>
        <v>1044</v>
      </c>
      <c r="M692" s="21" t="n">
        <f aca="false">K692-L692</f>
        <v>414</v>
      </c>
      <c r="N692" s="11" t="str">
        <f aca="false">TEXT(B692,"mmm")</f>
        <v>Jul</v>
      </c>
    </row>
    <row r="693" customFormat="false" ht="15" hidden="false" customHeight="false" outlineLevel="0" collapsed="false">
      <c r="A693" s="11" t="s">
        <v>754</v>
      </c>
      <c r="B693" s="20" t="n">
        <v>45848</v>
      </c>
      <c r="C693" s="11" t="s">
        <v>18</v>
      </c>
      <c r="D693" s="11" t="s">
        <v>33</v>
      </c>
      <c r="E693" s="11" t="s">
        <v>51</v>
      </c>
      <c r="F693" s="11" t="s">
        <v>42</v>
      </c>
      <c r="G693" s="11" t="n">
        <v>1</v>
      </c>
      <c r="H693" s="21" t="n">
        <v>90</v>
      </c>
      <c r="I693" s="21" t="n">
        <v>58</v>
      </c>
      <c r="J693" s="22" t="n">
        <v>0.1</v>
      </c>
      <c r="K693" s="21" t="n">
        <f aca="false">G693*H693*(1-J693)</f>
        <v>81</v>
      </c>
      <c r="L693" s="21" t="n">
        <f aca="false">G693*I693</f>
        <v>58</v>
      </c>
      <c r="M693" s="21" t="n">
        <f aca="false">K693-L693</f>
        <v>23</v>
      </c>
      <c r="N693" s="11" t="str">
        <f aca="false">TEXT(B693,"mmm")</f>
        <v>Jul</v>
      </c>
    </row>
    <row r="694" customFormat="false" ht="15" hidden="false" customHeight="false" outlineLevel="0" collapsed="false">
      <c r="A694" s="11" t="s">
        <v>755</v>
      </c>
      <c r="B694" s="20" t="n">
        <v>45848</v>
      </c>
      <c r="C694" s="11" t="s">
        <v>22</v>
      </c>
      <c r="D694" s="11" t="s">
        <v>35</v>
      </c>
      <c r="E694" s="11" t="s">
        <v>56</v>
      </c>
      <c r="F694" s="11" t="s">
        <v>45</v>
      </c>
      <c r="G694" s="11" t="n">
        <v>4</v>
      </c>
      <c r="H694" s="21" t="n">
        <v>110</v>
      </c>
      <c r="I694" s="21" t="n">
        <v>62</v>
      </c>
      <c r="J694" s="22" t="n">
        <v>0.15</v>
      </c>
      <c r="K694" s="21" t="n">
        <f aca="false">G694*H694*(1-J694)</f>
        <v>374</v>
      </c>
      <c r="L694" s="21" t="n">
        <f aca="false">G694*I694</f>
        <v>248</v>
      </c>
      <c r="M694" s="21" t="n">
        <f aca="false">K694-L694</f>
        <v>126</v>
      </c>
      <c r="N694" s="11" t="str">
        <f aca="false">TEXT(B694,"mmm")</f>
        <v>Jul</v>
      </c>
    </row>
    <row r="695" customFormat="false" ht="15" hidden="false" customHeight="false" outlineLevel="0" collapsed="false">
      <c r="A695" s="11" t="s">
        <v>756</v>
      </c>
      <c r="B695" s="20" t="n">
        <v>45848</v>
      </c>
      <c r="C695" s="11" t="s">
        <v>20</v>
      </c>
      <c r="D695" s="11" t="s">
        <v>37</v>
      </c>
      <c r="E695" s="11" t="s">
        <v>52</v>
      </c>
      <c r="F695" s="11" t="s">
        <v>44</v>
      </c>
      <c r="G695" s="11" t="n">
        <v>27</v>
      </c>
      <c r="H695" s="21" t="n">
        <v>12</v>
      </c>
      <c r="I695" s="21" t="n">
        <v>6</v>
      </c>
      <c r="J695" s="22" t="n">
        <v>0</v>
      </c>
      <c r="K695" s="21" t="n">
        <f aca="false">G695*H695*(1-J695)</f>
        <v>324</v>
      </c>
      <c r="L695" s="21" t="n">
        <f aca="false">G695*I695</f>
        <v>162</v>
      </c>
      <c r="M695" s="21" t="n">
        <f aca="false">K695-L695</f>
        <v>162</v>
      </c>
      <c r="N695" s="11" t="str">
        <f aca="false">TEXT(B695,"mmm")</f>
        <v>Jul</v>
      </c>
    </row>
    <row r="696" customFormat="false" ht="15" hidden="false" customHeight="false" outlineLevel="0" collapsed="false">
      <c r="A696" s="11" t="s">
        <v>757</v>
      </c>
      <c r="B696" s="20" t="n">
        <v>45848</v>
      </c>
      <c r="C696" s="11" t="s">
        <v>20</v>
      </c>
      <c r="D696" s="11" t="s">
        <v>33</v>
      </c>
      <c r="E696" s="11" t="s">
        <v>51</v>
      </c>
      <c r="F696" s="11" t="s">
        <v>44</v>
      </c>
      <c r="G696" s="11" t="n">
        <v>6</v>
      </c>
      <c r="H696" s="21" t="n">
        <v>90</v>
      </c>
      <c r="I696" s="21" t="n">
        <v>58</v>
      </c>
      <c r="J696" s="22" t="n">
        <v>0.1</v>
      </c>
      <c r="K696" s="21" t="n">
        <f aca="false">G696*H696*(1-J696)</f>
        <v>486</v>
      </c>
      <c r="L696" s="21" t="n">
        <f aca="false">G696*I696</f>
        <v>348</v>
      </c>
      <c r="M696" s="21" t="n">
        <f aca="false">K696-L696</f>
        <v>138</v>
      </c>
      <c r="N696" s="11" t="str">
        <f aca="false">TEXT(B696,"mmm")</f>
        <v>Jul</v>
      </c>
    </row>
    <row r="697" customFormat="false" ht="15" hidden="false" customHeight="false" outlineLevel="0" collapsed="false">
      <c r="A697" s="11" t="s">
        <v>758</v>
      </c>
      <c r="B697" s="20" t="n">
        <v>45848</v>
      </c>
      <c r="C697" s="11" t="s">
        <v>18</v>
      </c>
      <c r="D697" s="11" t="s">
        <v>37</v>
      </c>
      <c r="E697" s="11" t="s">
        <v>49</v>
      </c>
      <c r="F697" s="11" t="s">
        <v>42</v>
      </c>
      <c r="G697" s="11" t="n">
        <v>3</v>
      </c>
      <c r="H697" s="21" t="n">
        <v>28</v>
      </c>
      <c r="I697" s="21" t="n">
        <v>17</v>
      </c>
      <c r="J697" s="22" t="n">
        <v>0.1</v>
      </c>
      <c r="K697" s="21" t="n">
        <f aca="false">G697*H697*(1-J697)</f>
        <v>75.6</v>
      </c>
      <c r="L697" s="21" t="n">
        <f aca="false">G697*I697</f>
        <v>51</v>
      </c>
      <c r="M697" s="21" t="n">
        <f aca="false">K697-L697</f>
        <v>24.6</v>
      </c>
      <c r="N697" s="11" t="str">
        <f aca="false">TEXT(B697,"mmm")</f>
        <v>Jul</v>
      </c>
    </row>
    <row r="698" customFormat="false" ht="15" hidden="false" customHeight="false" outlineLevel="0" collapsed="false">
      <c r="A698" s="11" t="s">
        <v>759</v>
      </c>
      <c r="B698" s="20" t="n">
        <v>45849</v>
      </c>
      <c r="C698" s="11" t="s">
        <v>20</v>
      </c>
      <c r="D698" s="11" t="s">
        <v>35</v>
      </c>
      <c r="E698" s="11" t="s">
        <v>56</v>
      </c>
      <c r="F698" s="11" t="s">
        <v>44</v>
      </c>
      <c r="G698" s="11" t="n">
        <v>3</v>
      </c>
      <c r="H698" s="21" t="n">
        <v>110</v>
      </c>
      <c r="I698" s="21" t="n">
        <v>62</v>
      </c>
      <c r="J698" s="22" t="n">
        <v>0.1</v>
      </c>
      <c r="K698" s="21" t="n">
        <f aca="false">G698*H698*(1-J698)</f>
        <v>297</v>
      </c>
      <c r="L698" s="21" t="n">
        <f aca="false">G698*I698</f>
        <v>186</v>
      </c>
      <c r="M698" s="21" t="n">
        <f aca="false">K698-L698</f>
        <v>111</v>
      </c>
      <c r="N698" s="11" t="str">
        <f aca="false">TEXT(B698,"mmm")</f>
        <v>Jul</v>
      </c>
    </row>
    <row r="699" customFormat="false" ht="15" hidden="false" customHeight="false" outlineLevel="0" collapsed="false">
      <c r="A699" s="11" t="s">
        <v>760</v>
      </c>
      <c r="B699" s="20" t="n">
        <v>45849</v>
      </c>
      <c r="C699" s="11" t="s">
        <v>18</v>
      </c>
      <c r="D699" s="11" t="s">
        <v>33</v>
      </c>
      <c r="E699" s="11" t="s">
        <v>51</v>
      </c>
      <c r="F699" s="11" t="s">
        <v>44</v>
      </c>
      <c r="G699" s="11" t="n">
        <v>5</v>
      </c>
      <c r="H699" s="21" t="n">
        <v>90</v>
      </c>
      <c r="I699" s="21" t="n">
        <v>58</v>
      </c>
      <c r="J699" s="22" t="n">
        <v>0.05</v>
      </c>
      <c r="K699" s="21" t="n">
        <f aca="false">G699*H699*(1-J699)</f>
        <v>427.5</v>
      </c>
      <c r="L699" s="21" t="n">
        <f aca="false">G699*I699</f>
        <v>290</v>
      </c>
      <c r="M699" s="21" t="n">
        <f aca="false">K699-L699</f>
        <v>137.5</v>
      </c>
      <c r="N699" s="11" t="str">
        <f aca="false">TEXT(B699,"mmm")</f>
        <v>Jul</v>
      </c>
    </row>
    <row r="700" customFormat="false" ht="15" hidden="false" customHeight="false" outlineLevel="0" collapsed="false">
      <c r="A700" s="11" t="s">
        <v>761</v>
      </c>
      <c r="B700" s="20" t="n">
        <v>45849</v>
      </c>
      <c r="C700" s="11" t="s">
        <v>24</v>
      </c>
      <c r="D700" s="11" t="s">
        <v>35</v>
      </c>
      <c r="E700" s="11" t="s">
        <v>54</v>
      </c>
      <c r="F700" s="11" t="s">
        <v>45</v>
      </c>
      <c r="G700" s="11" t="n">
        <v>1</v>
      </c>
      <c r="H700" s="21" t="n">
        <v>320</v>
      </c>
      <c r="I700" s="21" t="n">
        <v>185</v>
      </c>
      <c r="J700" s="22" t="n">
        <v>0.15</v>
      </c>
      <c r="K700" s="21" t="n">
        <f aca="false">G700*H700*(1-J700)</f>
        <v>272</v>
      </c>
      <c r="L700" s="21" t="n">
        <f aca="false">G700*I700</f>
        <v>185</v>
      </c>
      <c r="M700" s="21" t="n">
        <f aca="false">K700-L700</f>
        <v>87</v>
      </c>
      <c r="N700" s="11" t="str">
        <f aca="false">TEXT(B700,"mmm")</f>
        <v>Jul</v>
      </c>
    </row>
    <row r="701" customFormat="false" ht="15" hidden="false" customHeight="false" outlineLevel="0" collapsed="false">
      <c r="A701" s="11" t="s">
        <v>762</v>
      </c>
      <c r="B701" s="20" t="n">
        <v>45849</v>
      </c>
      <c r="C701" s="11" t="s">
        <v>24</v>
      </c>
      <c r="D701" s="11" t="s">
        <v>35</v>
      </c>
      <c r="E701" s="11" t="s">
        <v>56</v>
      </c>
      <c r="F701" s="11" t="s">
        <v>45</v>
      </c>
      <c r="G701" s="11" t="n">
        <v>2</v>
      </c>
      <c r="H701" s="21" t="n">
        <v>110</v>
      </c>
      <c r="I701" s="21" t="n">
        <v>62</v>
      </c>
      <c r="J701" s="22" t="n">
        <v>0.2</v>
      </c>
      <c r="K701" s="21" t="n">
        <f aca="false">G701*H701*(1-J701)</f>
        <v>176</v>
      </c>
      <c r="L701" s="21" t="n">
        <f aca="false">G701*I701</f>
        <v>124</v>
      </c>
      <c r="M701" s="21" t="n">
        <f aca="false">K701-L701</f>
        <v>52</v>
      </c>
      <c r="N701" s="11" t="str">
        <f aca="false">TEXT(B701,"mmm")</f>
        <v>Jul</v>
      </c>
    </row>
    <row r="702" customFormat="false" ht="15" hidden="false" customHeight="false" outlineLevel="0" collapsed="false">
      <c r="A702" s="11" t="s">
        <v>763</v>
      </c>
      <c r="B702" s="20" t="n">
        <v>45849</v>
      </c>
      <c r="C702" s="11" t="s">
        <v>22</v>
      </c>
      <c r="D702" s="11" t="s">
        <v>37</v>
      </c>
      <c r="E702" s="11" t="s">
        <v>52</v>
      </c>
      <c r="F702" s="11" t="s">
        <v>42</v>
      </c>
      <c r="G702" s="11" t="n">
        <v>22</v>
      </c>
      <c r="H702" s="21" t="n">
        <v>12</v>
      </c>
      <c r="I702" s="21" t="n">
        <v>6</v>
      </c>
      <c r="J702" s="22" t="n">
        <v>0.15</v>
      </c>
      <c r="K702" s="21" t="n">
        <f aca="false">G702*H702*(1-J702)</f>
        <v>224.4</v>
      </c>
      <c r="L702" s="21" t="n">
        <f aca="false">G702*I702</f>
        <v>132</v>
      </c>
      <c r="M702" s="21" t="n">
        <f aca="false">K702-L702</f>
        <v>92.4</v>
      </c>
      <c r="N702" s="11" t="str">
        <f aca="false">TEXT(B702,"mmm")</f>
        <v>Jul</v>
      </c>
    </row>
    <row r="703" customFormat="false" ht="15" hidden="false" customHeight="false" outlineLevel="0" collapsed="false">
      <c r="A703" s="11" t="s">
        <v>764</v>
      </c>
      <c r="B703" s="20" t="n">
        <v>45849</v>
      </c>
      <c r="C703" s="11" t="s">
        <v>18</v>
      </c>
      <c r="D703" s="11" t="s">
        <v>33</v>
      </c>
      <c r="E703" s="11" t="s">
        <v>51</v>
      </c>
      <c r="F703" s="11" t="s">
        <v>42</v>
      </c>
      <c r="G703" s="11" t="n">
        <v>2</v>
      </c>
      <c r="H703" s="21" t="n">
        <v>90</v>
      </c>
      <c r="I703" s="21" t="n">
        <v>58</v>
      </c>
      <c r="J703" s="22" t="n">
        <v>0</v>
      </c>
      <c r="K703" s="21" t="n">
        <f aca="false">G703*H703*(1-J703)</f>
        <v>180</v>
      </c>
      <c r="L703" s="21" t="n">
        <f aca="false">G703*I703</f>
        <v>116</v>
      </c>
      <c r="M703" s="21" t="n">
        <f aca="false">K703-L703</f>
        <v>64</v>
      </c>
      <c r="N703" s="11" t="str">
        <f aca="false">TEXT(B703,"mmm")</f>
        <v>Jul</v>
      </c>
    </row>
    <row r="704" customFormat="false" ht="15" hidden="false" customHeight="false" outlineLevel="0" collapsed="false">
      <c r="A704" s="11" t="s">
        <v>765</v>
      </c>
      <c r="B704" s="20" t="n">
        <v>45850</v>
      </c>
      <c r="C704" s="11" t="s">
        <v>24</v>
      </c>
      <c r="D704" s="11" t="s">
        <v>37</v>
      </c>
      <c r="E704" s="11" t="s">
        <v>53</v>
      </c>
      <c r="F704" s="11" t="s">
        <v>42</v>
      </c>
      <c r="G704" s="11" t="n">
        <v>17</v>
      </c>
      <c r="H704" s="21" t="n">
        <v>9</v>
      </c>
      <c r="I704" s="21" t="n">
        <v>4.5</v>
      </c>
      <c r="J704" s="22" t="n">
        <v>0.05</v>
      </c>
      <c r="K704" s="21" t="n">
        <f aca="false">G704*H704*(1-J704)</f>
        <v>145.35</v>
      </c>
      <c r="L704" s="21" t="n">
        <f aca="false">G704*I704</f>
        <v>76.5</v>
      </c>
      <c r="M704" s="21" t="n">
        <f aca="false">K704-L704</f>
        <v>68.85</v>
      </c>
      <c r="N704" s="11" t="str">
        <f aca="false">TEXT(B704,"mmm")</f>
        <v>Jul</v>
      </c>
    </row>
    <row r="705" customFormat="false" ht="15" hidden="false" customHeight="false" outlineLevel="0" collapsed="false">
      <c r="A705" s="11" t="s">
        <v>766</v>
      </c>
      <c r="B705" s="20" t="n">
        <v>45850</v>
      </c>
      <c r="C705" s="11" t="s">
        <v>18</v>
      </c>
      <c r="D705" s="11" t="s">
        <v>33</v>
      </c>
      <c r="E705" s="11" t="s">
        <v>51</v>
      </c>
      <c r="F705" s="11" t="s">
        <v>44</v>
      </c>
      <c r="G705" s="11" t="n">
        <v>3</v>
      </c>
      <c r="H705" s="21" t="n">
        <v>90</v>
      </c>
      <c r="I705" s="21" t="n">
        <v>58</v>
      </c>
      <c r="J705" s="22" t="n">
        <v>0</v>
      </c>
      <c r="K705" s="21" t="n">
        <f aca="false">G705*H705*(1-J705)</f>
        <v>270</v>
      </c>
      <c r="L705" s="21" t="n">
        <f aca="false">G705*I705</f>
        <v>174</v>
      </c>
      <c r="M705" s="21" t="n">
        <f aca="false">K705-L705</f>
        <v>96</v>
      </c>
      <c r="N705" s="11" t="str">
        <f aca="false">TEXT(B705,"mmm")</f>
        <v>Jul</v>
      </c>
    </row>
    <row r="706" customFormat="false" ht="15" hidden="false" customHeight="false" outlineLevel="0" collapsed="false">
      <c r="A706" s="11" t="s">
        <v>767</v>
      </c>
      <c r="B706" s="20" t="n">
        <v>45850</v>
      </c>
      <c r="C706" s="11" t="s">
        <v>22</v>
      </c>
      <c r="D706" s="11" t="s">
        <v>37</v>
      </c>
      <c r="E706" s="11" t="s">
        <v>49</v>
      </c>
      <c r="F706" s="11" t="s">
        <v>42</v>
      </c>
      <c r="G706" s="11" t="n">
        <v>26</v>
      </c>
      <c r="H706" s="21" t="n">
        <v>28</v>
      </c>
      <c r="I706" s="21" t="n">
        <v>17</v>
      </c>
      <c r="J706" s="22" t="n">
        <v>0.15</v>
      </c>
      <c r="K706" s="21" t="n">
        <f aca="false">G706*H706*(1-J706)</f>
        <v>618.8</v>
      </c>
      <c r="L706" s="21" t="n">
        <f aca="false">G706*I706</f>
        <v>442</v>
      </c>
      <c r="M706" s="21" t="n">
        <f aca="false">K706-L706</f>
        <v>176.8</v>
      </c>
      <c r="N706" s="11" t="str">
        <f aca="false">TEXT(B706,"mmm")</f>
        <v>Jul</v>
      </c>
    </row>
    <row r="707" customFormat="false" ht="15" hidden="false" customHeight="false" outlineLevel="0" collapsed="false">
      <c r="A707" s="11" t="s">
        <v>768</v>
      </c>
      <c r="B707" s="20" t="n">
        <v>45850</v>
      </c>
      <c r="C707" s="11" t="s">
        <v>20</v>
      </c>
      <c r="D707" s="11" t="s">
        <v>35</v>
      </c>
      <c r="E707" s="11" t="s">
        <v>54</v>
      </c>
      <c r="F707" s="11" t="s">
        <v>44</v>
      </c>
      <c r="G707" s="11" t="n">
        <v>1</v>
      </c>
      <c r="H707" s="21" t="n">
        <v>320</v>
      </c>
      <c r="I707" s="21" t="n">
        <v>185</v>
      </c>
      <c r="J707" s="22" t="n">
        <v>0</v>
      </c>
      <c r="K707" s="21" t="n">
        <f aca="false">G707*H707*(1-J707)</f>
        <v>320</v>
      </c>
      <c r="L707" s="21" t="n">
        <f aca="false">G707*I707</f>
        <v>185</v>
      </c>
      <c r="M707" s="21" t="n">
        <f aca="false">K707-L707</f>
        <v>135</v>
      </c>
      <c r="N707" s="11" t="str">
        <f aca="false">TEXT(B707,"mmm")</f>
        <v>Jul</v>
      </c>
    </row>
    <row r="708" customFormat="false" ht="15" hidden="false" customHeight="false" outlineLevel="0" collapsed="false">
      <c r="A708" s="11" t="s">
        <v>769</v>
      </c>
      <c r="B708" s="20" t="n">
        <v>45850</v>
      </c>
      <c r="C708" s="11" t="s">
        <v>18</v>
      </c>
      <c r="D708" s="11" t="s">
        <v>37</v>
      </c>
      <c r="E708" s="11" t="s">
        <v>49</v>
      </c>
      <c r="F708" s="11" t="s">
        <v>44</v>
      </c>
      <c r="G708" s="11" t="n">
        <v>25</v>
      </c>
      <c r="H708" s="21" t="n">
        <v>28</v>
      </c>
      <c r="I708" s="21" t="n">
        <v>17</v>
      </c>
      <c r="J708" s="22" t="n">
        <v>0</v>
      </c>
      <c r="K708" s="21" t="n">
        <f aca="false">G708*H708*(1-J708)</f>
        <v>700</v>
      </c>
      <c r="L708" s="21" t="n">
        <f aca="false">G708*I708</f>
        <v>425</v>
      </c>
      <c r="M708" s="21" t="n">
        <f aca="false">K708-L708</f>
        <v>275</v>
      </c>
      <c r="N708" s="11" t="str">
        <f aca="false">TEXT(B708,"mmm")</f>
        <v>Jul</v>
      </c>
    </row>
    <row r="709" customFormat="false" ht="15" hidden="false" customHeight="false" outlineLevel="0" collapsed="false">
      <c r="A709" s="11" t="s">
        <v>770</v>
      </c>
      <c r="B709" s="20" t="n">
        <v>45850</v>
      </c>
      <c r="C709" s="11" t="s">
        <v>24</v>
      </c>
      <c r="D709" s="11" t="s">
        <v>33</v>
      </c>
      <c r="E709" s="11" t="s">
        <v>48</v>
      </c>
      <c r="F709" s="11" t="s">
        <v>42</v>
      </c>
      <c r="G709" s="11" t="n">
        <v>1</v>
      </c>
      <c r="H709" s="21" t="n">
        <v>520</v>
      </c>
      <c r="I709" s="21" t="n">
        <v>415</v>
      </c>
      <c r="J709" s="22" t="n">
        <v>0.05</v>
      </c>
      <c r="K709" s="21" t="n">
        <f aca="false">G709*H709*(1-J709)</f>
        <v>494</v>
      </c>
      <c r="L709" s="21" t="n">
        <f aca="false">G709*I709</f>
        <v>415</v>
      </c>
      <c r="M709" s="21" t="n">
        <f aca="false">K709-L709</f>
        <v>79</v>
      </c>
      <c r="N709" s="11" t="str">
        <f aca="false">TEXT(B709,"mmm")</f>
        <v>Jul</v>
      </c>
    </row>
    <row r="710" customFormat="false" ht="15" hidden="false" customHeight="false" outlineLevel="0" collapsed="false">
      <c r="A710" s="11" t="s">
        <v>771</v>
      </c>
      <c r="B710" s="20" t="n">
        <v>45851</v>
      </c>
      <c r="C710" s="11" t="s">
        <v>20</v>
      </c>
      <c r="D710" s="11" t="s">
        <v>37</v>
      </c>
      <c r="E710" s="11" t="s">
        <v>52</v>
      </c>
      <c r="F710" s="11" t="s">
        <v>42</v>
      </c>
      <c r="G710" s="11" t="n">
        <v>29</v>
      </c>
      <c r="H710" s="21" t="n">
        <v>12</v>
      </c>
      <c r="I710" s="21" t="n">
        <v>6</v>
      </c>
      <c r="J710" s="22" t="n">
        <v>0</v>
      </c>
      <c r="K710" s="21" t="n">
        <f aca="false">G710*H710*(1-J710)</f>
        <v>348</v>
      </c>
      <c r="L710" s="21" t="n">
        <f aca="false">G710*I710</f>
        <v>174</v>
      </c>
      <c r="M710" s="21" t="n">
        <f aca="false">K710-L710</f>
        <v>174</v>
      </c>
      <c r="N710" s="11" t="str">
        <f aca="false">TEXT(B710,"mmm")</f>
        <v>Jul</v>
      </c>
    </row>
    <row r="711" customFormat="false" ht="15" hidden="false" customHeight="false" outlineLevel="0" collapsed="false">
      <c r="A711" s="11" t="s">
        <v>772</v>
      </c>
      <c r="B711" s="20" t="n">
        <v>45851</v>
      </c>
      <c r="C711" s="11" t="s">
        <v>18</v>
      </c>
      <c r="D711" s="11" t="s">
        <v>33</v>
      </c>
      <c r="E711" s="11" t="s">
        <v>51</v>
      </c>
      <c r="F711" s="11" t="s">
        <v>42</v>
      </c>
      <c r="G711" s="11" t="n">
        <v>1</v>
      </c>
      <c r="H711" s="21" t="n">
        <v>90</v>
      </c>
      <c r="I711" s="21" t="n">
        <v>58</v>
      </c>
      <c r="J711" s="22" t="n">
        <v>0.05</v>
      </c>
      <c r="K711" s="21" t="n">
        <f aca="false">G711*H711*(1-J711)</f>
        <v>85.5</v>
      </c>
      <c r="L711" s="21" t="n">
        <f aca="false">G711*I711</f>
        <v>58</v>
      </c>
      <c r="M711" s="21" t="n">
        <f aca="false">K711-L711</f>
        <v>27.5</v>
      </c>
      <c r="N711" s="11" t="str">
        <f aca="false">TEXT(B711,"mmm")</f>
        <v>Jul</v>
      </c>
    </row>
    <row r="712" customFormat="false" ht="15" hidden="false" customHeight="false" outlineLevel="0" collapsed="false">
      <c r="A712" s="11" t="s">
        <v>773</v>
      </c>
      <c r="B712" s="20" t="n">
        <v>45851</v>
      </c>
      <c r="C712" s="11" t="s">
        <v>20</v>
      </c>
      <c r="D712" s="11" t="s">
        <v>33</v>
      </c>
      <c r="E712" s="11" t="s">
        <v>51</v>
      </c>
      <c r="F712" s="11" t="s">
        <v>44</v>
      </c>
      <c r="G712" s="11" t="n">
        <v>3</v>
      </c>
      <c r="H712" s="21" t="n">
        <v>90</v>
      </c>
      <c r="I712" s="21" t="n">
        <v>58</v>
      </c>
      <c r="J712" s="22" t="n">
        <v>0.1</v>
      </c>
      <c r="K712" s="21" t="n">
        <f aca="false">G712*H712*(1-J712)</f>
        <v>243</v>
      </c>
      <c r="L712" s="21" t="n">
        <f aca="false">G712*I712</f>
        <v>174</v>
      </c>
      <c r="M712" s="21" t="n">
        <f aca="false">K712-L712</f>
        <v>69</v>
      </c>
      <c r="N712" s="11" t="str">
        <f aca="false">TEXT(B712,"mmm")</f>
        <v>Jul</v>
      </c>
    </row>
    <row r="713" customFormat="false" ht="15" hidden="false" customHeight="false" outlineLevel="0" collapsed="false">
      <c r="A713" s="11" t="s">
        <v>774</v>
      </c>
      <c r="B713" s="20" t="n">
        <v>45851</v>
      </c>
      <c r="C713" s="11" t="s">
        <v>24</v>
      </c>
      <c r="D713" s="11" t="s">
        <v>37</v>
      </c>
      <c r="E713" s="11" t="s">
        <v>49</v>
      </c>
      <c r="F713" s="11" t="s">
        <v>45</v>
      </c>
      <c r="G713" s="11" t="n">
        <v>96</v>
      </c>
      <c r="H713" s="21" t="n">
        <v>28</v>
      </c>
      <c r="I713" s="21" t="n">
        <v>17</v>
      </c>
      <c r="J713" s="22" t="n">
        <v>0.15</v>
      </c>
      <c r="K713" s="21" t="n">
        <f aca="false">G713*H713*(1-J713)</f>
        <v>2284.8</v>
      </c>
      <c r="L713" s="21" t="n">
        <f aca="false">G713*I713</f>
        <v>1632</v>
      </c>
      <c r="M713" s="21" t="n">
        <f aca="false">K713-L713</f>
        <v>652.8</v>
      </c>
      <c r="N713" s="11" t="str">
        <f aca="false">TEXT(B713,"mmm")</f>
        <v>Jul</v>
      </c>
    </row>
    <row r="714" customFormat="false" ht="15" hidden="false" customHeight="false" outlineLevel="0" collapsed="false">
      <c r="A714" s="11" t="s">
        <v>775</v>
      </c>
      <c r="B714" s="20" t="n">
        <v>45852</v>
      </c>
      <c r="C714" s="11" t="s">
        <v>24</v>
      </c>
      <c r="D714" s="11" t="s">
        <v>37</v>
      </c>
      <c r="E714" s="11" t="s">
        <v>52</v>
      </c>
      <c r="F714" s="11" t="s">
        <v>45</v>
      </c>
      <c r="G714" s="11" t="n">
        <v>27</v>
      </c>
      <c r="H714" s="21" t="n">
        <v>12</v>
      </c>
      <c r="I714" s="21" t="n">
        <v>6</v>
      </c>
      <c r="J714" s="22" t="n">
        <v>0.2</v>
      </c>
      <c r="K714" s="21" t="n">
        <f aca="false">G714*H714*(1-J714)</f>
        <v>259.2</v>
      </c>
      <c r="L714" s="21" t="n">
        <f aca="false">G714*I714</f>
        <v>162</v>
      </c>
      <c r="M714" s="21" t="n">
        <f aca="false">K714-L714</f>
        <v>97.2</v>
      </c>
      <c r="N714" s="11" t="str">
        <f aca="false">TEXT(B714,"mmm")</f>
        <v>Jul</v>
      </c>
    </row>
    <row r="715" customFormat="false" ht="15" hidden="false" customHeight="false" outlineLevel="0" collapsed="false">
      <c r="A715" s="11" t="s">
        <v>776</v>
      </c>
      <c r="B715" s="20" t="n">
        <v>45852</v>
      </c>
      <c r="C715" s="11" t="s">
        <v>18</v>
      </c>
      <c r="D715" s="11" t="s">
        <v>37</v>
      </c>
      <c r="E715" s="11" t="s">
        <v>52</v>
      </c>
      <c r="F715" s="11" t="s">
        <v>42</v>
      </c>
      <c r="G715" s="11" t="n">
        <v>29</v>
      </c>
      <c r="H715" s="21" t="n">
        <v>12</v>
      </c>
      <c r="I715" s="21" t="n">
        <v>6</v>
      </c>
      <c r="J715" s="22" t="n">
        <v>0.05</v>
      </c>
      <c r="K715" s="21" t="n">
        <f aca="false">G715*H715*(1-J715)</f>
        <v>330.6</v>
      </c>
      <c r="L715" s="21" t="n">
        <f aca="false">G715*I715</f>
        <v>174</v>
      </c>
      <c r="M715" s="21" t="n">
        <f aca="false">K715-L715</f>
        <v>156.6</v>
      </c>
      <c r="N715" s="11" t="str">
        <f aca="false">TEXT(B715,"mmm")</f>
        <v>Jul</v>
      </c>
    </row>
    <row r="716" customFormat="false" ht="15" hidden="false" customHeight="false" outlineLevel="0" collapsed="false">
      <c r="A716" s="11" t="s">
        <v>777</v>
      </c>
      <c r="B716" s="20" t="n">
        <v>45852</v>
      </c>
      <c r="C716" s="11" t="s">
        <v>24</v>
      </c>
      <c r="D716" s="11" t="s">
        <v>35</v>
      </c>
      <c r="E716" s="11" t="s">
        <v>56</v>
      </c>
      <c r="F716" s="11" t="s">
        <v>45</v>
      </c>
      <c r="G716" s="11" t="n">
        <v>4</v>
      </c>
      <c r="H716" s="21" t="n">
        <v>110</v>
      </c>
      <c r="I716" s="21" t="n">
        <v>62</v>
      </c>
      <c r="J716" s="22" t="n">
        <v>0.15</v>
      </c>
      <c r="K716" s="21" t="n">
        <f aca="false">G716*H716*(1-J716)</f>
        <v>374</v>
      </c>
      <c r="L716" s="21" t="n">
        <f aca="false">G716*I716</f>
        <v>248</v>
      </c>
      <c r="M716" s="21" t="n">
        <f aca="false">K716-L716</f>
        <v>126</v>
      </c>
      <c r="N716" s="11" t="str">
        <f aca="false">TEXT(B716,"mmm")</f>
        <v>Jul</v>
      </c>
    </row>
    <row r="717" customFormat="false" ht="15" hidden="false" customHeight="false" outlineLevel="0" collapsed="false">
      <c r="A717" s="11" t="s">
        <v>778</v>
      </c>
      <c r="B717" s="20" t="n">
        <v>45852</v>
      </c>
      <c r="C717" s="11" t="s">
        <v>20</v>
      </c>
      <c r="D717" s="11" t="s">
        <v>37</v>
      </c>
      <c r="E717" s="11" t="s">
        <v>49</v>
      </c>
      <c r="F717" s="11" t="s">
        <v>42</v>
      </c>
      <c r="G717" s="11" t="n">
        <v>1</v>
      </c>
      <c r="H717" s="21" t="n">
        <v>28</v>
      </c>
      <c r="I717" s="21" t="n">
        <v>17</v>
      </c>
      <c r="J717" s="22" t="n">
        <v>0.1</v>
      </c>
      <c r="K717" s="21" t="n">
        <f aca="false">G717*H717*(1-J717)</f>
        <v>25.2</v>
      </c>
      <c r="L717" s="21" t="n">
        <f aca="false">G717*I717</f>
        <v>17</v>
      </c>
      <c r="M717" s="21" t="n">
        <f aca="false">K717-L717</f>
        <v>8.2</v>
      </c>
      <c r="N717" s="11" t="str">
        <f aca="false">TEXT(B717,"mmm")</f>
        <v>Jul</v>
      </c>
    </row>
    <row r="718" customFormat="false" ht="15" hidden="false" customHeight="false" outlineLevel="0" collapsed="false">
      <c r="A718" s="11" t="s">
        <v>779</v>
      </c>
      <c r="B718" s="20" t="n">
        <v>45852</v>
      </c>
      <c r="C718" s="11" t="s">
        <v>20</v>
      </c>
      <c r="D718" s="11" t="s">
        <v>33</v>
      </c>
      <c r="E718" s="11" t="s">
        <v>50</v>
      </c>
      <c r="F718" s="11" t="s">
        <v>44</v>
      </c>
      <c r="G718" s="11" t="n">
        <v>3</v>
      </c>
      <c r="H718" s="21" t="n">
        <v>780</v>
      </c>
      <c r="I718" s="21" t="n">
        <v>600</v>
      </c>
      <c r="J718" s="22" t="n">
        <v>0</v>
      </c>
      <c r="K718" s="21" t="n">
        <f aca="false">G718*H718*(1-J718)</f>
        <v>2340</v>
      </c>
      <c r="L718" s="21" t="n">
        <f aca="false">G718*I718</f>
        <v>1800</v>
      </c>
      <c r="M718" s="21" t="n">
        <f aca="false">K718-L718</f>
        <v>540</v>
      </c>
      <c r="N718" s="11" t="str">
        <f aca="false">TEXT(B718,"mmm")</f>
        <v>Jul</v>
      </c>
    </row>
    <row r="719" customFormat="false" ht="15" hidden="false" customHeight="false" outlineLevel="0" collapsed="false">
      <c r="A719" s="11" t="s">
        <v>780</v>
      </c>
      <c r="B719" s="20" t="n">
        <v>45852</v>
      </c>
      <c r="C719" s="11" t="s">
        <v>20</v>
      </c>
      <c r="D719" s="11" t="s">
        <v>35</v>
      </c>
      <c r="E719" s="11" t="s">
        <v>55</v>
      </c>
      <c r="F719" s="11" t="s">
        <v>44</v>
      </c>
      <c r="G719" s="11" t="n">
        <v>2</v>
      </c>
      <c r="H719" s="21" t="n">
        <v>150</v>
      </c>
      <c r="I719" s="21" t="n">
        <v>82</v>
      </c>
      <c r="J719" s="22" t="n">
        <v>0</v>
      </c>
      <c r="K719" s="21" t="n">
        <f aca="false">G719*H719*(1-J719)</f>
        <v>300</v>
      </c>
      <c r="L719" s="21" t="n">
        <f aca="false">G719*I719</f>
        <v>164</v>
      </c>
      <c r="M719" s="21" t="n">
        <f aca="false">K719-L719</f>
        <v>136</v>
      </c>
      <c r="N719" s="11" t="str">
        <f aca="false">TEXT(B719,"mmm")</f>
        <v>Jul</v>
      </c>
    </row>
    <row r="720" customFormat="false" ht="15" hidden="false" customHeight="false" outlineLevel="0" collapsed="false">
      <c r="A720" s="11" t="s">
        <v>781</v>
      </c>
      <c r="B720" s="20" t="n">
        <v>45852</v>
      </c>
      <c r="C720" s="11" t="s">
        <v>22</v>
      </c>
      <c r="D720" s="11" t="s">
        <v>37</v>
      </c>
      <c r="E720" s="11" t="s">
        <v>53</v>
      </c>
      <c r="F720" s="11" t="s">
        <v>45</v>
      </c>
      <c r="G720" s="11" t="n">
        <v>117</v>
      </c>
      <c r="H720" s="21" t="n">
        <v>9</v>
      </c>
      <c r="I720" s="21" t="n">
        <v>4.5</v>
      </c>
      <c r="J720" s="22" t="n">
        <v>0.1</v>
      </c>
      <c r="K720" s="21" t="n">
        <f aca="false">G720*H720*(1-J720)</f>
        <v>947.7</v>
      </c>
      <c r="L720" s="21" t="n">
        <f aca="false">G720*I720</f>
        <v>526.5</v>
      </c>
      <c r="M720" s="21" t="n">
        <f aca="false">K720-L720</f>
        <v>421.2</v>
      </c>
      <c r="N720" s="11" t="str">
        <f aca="false">TEXT(B720,"mmm")</f>
        <v>Jul</v>
      </c>
    </row>
    <row r="721" customFormat="false" ht="15" hidden="false" customHeight="false" outlineLevel="0" collapsed="false">
      <c r="A721" s="11" t="s">
        <v>782</v>
      </c>
      <c r="B721" s="20" t="n">
        <v>45852</v>
      </c>
      <c r="C721" s="11" t="s">
        <v>18</v>
      </c>
      <c r="D721" s="11" t="s">
        <v>33</v>
      </c>
      <c r="E721" s="11" t="s">
        <v>51</v>
      </c>
      <c r="F721" s="11" t="s">
        <v>42</v>
      </c>
      <c r="G721" s="11" t="n">
        <v>1</v>
      </c>
      <c r="H721" s="21" t="n">
        <v>90</v>
      </c>
      <c r="I721" s="21" t="n">
        <v>58</v>
      </c>
      <c r="J721" s="22" t="n">
        <v>0</v>
      </c>
      <c r="K721" s="21" t="n">
        <f aca="false">G721*H721*(1-J721)</f>
        <v>90</v>
      </c>
      <c r="L721" s="21" t="n">
        <f aca="false">G721*I721</f>
        <v>58</v>
      </c>
      <c r="M721" s="21" t="n">
        <f aca="false">K721-L721</f>
        <v>32</v>
      </c>
      <c r="N721" s="11" t="str">
        <f aca="false">TEXT(B721,"mmm")</f>
        <v>Jul</v>
      </c>
    </row>
    <row r="722" customFormat="false" ht="15" hidden="false" customHeight="false" outlineLevel="0" collapsed="false">
      <c r="A722" s="11" t="s">
        <v>783</v>
      </c>
      <c r="B722" s="20" t="n">
        <v>45853</v>
      </c>
      <c r="C722" s="11" t="s">
        <v>18</v>
      </c>
      <c r="D722" s="11" t="s">
        <v>33</v>
      </c>
      <c r="E722" s="11" t="s">
        <v>48</v>
      </c>
      <c r="F722" s="11" t="s">
        <v>45</v>
      </c>
      <c r="G722" s="11" t="n">
        <v>3</v>
      </c>
      <c r="H722" s="21" t="n">
        <v>520</v>
      </c>
      <c r="I722" s="21" t="n">
        <v>415</v>
      </c>
      <c r="J722" s="22" t="n">
        <v>0.1</v>
      </c>
      <c r="K722" s="21" t="n">
        <f aca="false">G722*H722*(1-J722)</f>
        <v>1404</v>
      </c>
      <c r="L722" s="21" t="n">
        <f aca="false">G722*I722</f>
        <v>1245</v>
      </c>
      <c r="M722" s="21" t="n">
        <f aca="false">K722-L722</f>
        <v>159</v>
      </c>
      <c r="N722" s="11" t="str">
        <f aca="false">TEXT(B722,"mmm")</f>
        <v>Jul</v>
      </c>
    </row>
    <row r="723" customFormat="false" ht="15" hidden="false" customHeight="false" outlineLevel="0" collapsed="false">
      <c r="A723" s="11" t="s">
        <v>784</v>
      </c>
      <c r="B723" s="20" t="n">
        <v>45853</v>
      </c>
      <c r="C723" s="11" t="s">
        <v>22</v>
      </c>
      <c r="D723" s="11" t="s">
        <v>33</v>
      </c>
      <c r="E723" s="11" t="s">
        <v>48</v>
      </c>
      <c r="F723" s="11" t="s">
        <v>44</v>
      </c>
      <c r="G723" s="11" t="n">
        <v>3</v>
      </c>
      <c r="H723" s="21" t="n">
        <v>520</v>
      </c>
      <c r="I723" s="21" t="n">
        <v>415</v>
      </c>
      <c r="J723" s="22" t="n">
        <v>0</v>
      </c>
      <c r="K723" s="21" t="n">
        <f aca="false">G723*H723*(1-J723)</f>
        <v>1560</v>
      </c>
      <c r="L723" s="21" t="n">
        <f aca="false">G723*I723</f>
        <v>1245</v>
      </c>
      <c r="M723" s="21" t="n">
        <f aca="false">K723-L723</f>
        <v>315</v>
      </c>
      <c r="N723" s="11" t="str">
        <f aca="false">TEXT(B723,"mmm")</f>
        <v>Jul</v>
      </c>
    </row>
    <row r="724" customFormat="false" ht="15" hidden="false" customHeight="false" outlineLevel="0" collapsed="false">
      <c r="A724" s="11" t="s">
        <v>785</v>
      </c>
      <c r="B724" s="20" t="n">
        <v>45854</v>
      </c>
      <c r="C724" s="11" t="s">
        <v>20</v>
      </c>
      <c r="D724" s="11" t="s">
        <v>37</v>
      </c>
      <c r="E724" s="11" t="s">
        <v>52</v>
      </c>
      <c r="F724" s="11" t="s">
        <v>44</v>
      </c>
      <c r="G724" s="11" t="n">
        <v>35</v>
      </c>
      <c r="H724" s="21" t="n">
        <v>12</v>
      </c>
      <c r="I724" s="21" t="n">
        <v>6</v>
      </c>
      <c r="J724" s="22" t="n">
        <v>0</v>
      </c>
      <c r="K724" s="21" t="n">
        <f aca="false">G724*H724*(1-J724)</f>
        <v>420</v>
      </c>
      <c r="L724" s="21" t="n">
        <f aca="false">G724*I724</f>
        <v>210</v>
      </c>
      <c r="M724" s="21" t="n">
        <f aca="false">K724-L724</f>
        <v>210</v>
      </c>
      <c r="N724" s="11" t="str">
        <f aca="false">TEXT(B724,"mmm")</f>
        <v>Jul</v>
      </c>
    </row>
    <row r="725" customFormat="false" ht="15" hidden="false" customHeight="false" outlineLevel="0" collapsed="false">
      <c r="A725" s="11" t="s">
        <v>786</v>
      </c>
      <c r="B725" s="20" t="n">
        <v>45854</v>
      </c>
      <c r="C725" s="11" t="s">
        <v>20</v>
      </c>
      <c r="D725" s="11" t="s">
        <v>37</v>
      </c>
      <c r="E725" s="11" t="s">
        <v>49</v>
      </c>
      <c r="F725" s="11" t="s">
        <v>45</v>
      </c>
      <c r="G725" s="11" t="n">
        <v>39</v>
      </c>
      <c r="H725" s="21" t="n">
        <v>28</v>
      </c>
      <c r="I725" s="21" t="n">
        <v>17</v>
      </c>
      <c r="J725" s="22" t="n">
        <v>0.1</v>
      </c>
      <c r="K725" s="21" t="n">
        <f aca="false">G725*H725*(1-J725)</f>
        <v>982.8</v>
      </c>
      <c r="L725" s="21" t="n">
        <f aca="false">G725*I725</f>
        <v>663</v>
      </c>
      <c r="M725" s="21" t="n">
        <f aca="false">K725-L725</f>
        <v>319.8</v>
      </c>
      <c r="N725" s="11" t="str">
        <f aca="false">TEXT(B725,"mmm")</f>
        <v>Jul</v>
      </c>
    </row>
    <row r="726" customFormat="false" ht="15" hidden="false" customHeight="false" outlineLevel="0" collapsed="false">
      <c r="A726" s="11" t="s">
        <v>787</v>
      </c>
      <c r="B726" s="20" t="n">
        <v>45854</v>
      </c>
      <c r="C726" s="11" t="s">
        <v>22</v>
      </c>
      <c r="D726" s="11" t="s">
        <v>35</v>
      </c>
      <c r="E726" s="11" t="s">
        <v>54</v>
      </c>
      <c r="F726" s="11" t="s">
        <v>44</v>
      </c>
      <c r="G726" s="11" t="n">
        <v>2</v>
      </c>
      <c r="H726" s="21" t="n">
        <v>320</v>
      </c>
      <c r="I726" s="21" t="n">
        <v>185</v>
      </c>
      <c r="J726" s="22" t="n">
        <v>0</v>
      </c>
      <c r="K726" s="21" t="n">
        <f aca="false">G726*H726*(1-J726)</f>
        <v>640</v>
      </c>
      <c r="L726" s="21" t="n">
        <f aca="false">G726*I726</f>
        <v>370</v>
      </c>
      <c r="M726" s="21" t="n">
        <f aca="false">K726-L726</f>
        <v>270</v>
      </c>
      <c r="N726" s="11" t="str">
        <f aca="false">TEXT(B726,"mmm")</f>
        <v>Jul</v>
      </c>
    </row>
    <row r="727" customFormat="false" ht="15" hidden="false" customHeight="false" outlineLevel="0" collapsed="false">
      <c r="A727" s="11" t="s">
        <v>788</v>
      </c>
      <c r="B727" s="20" t="n">
        <v>45854</v>
      </c>
      <c r="C727" s="11" t="s">
        <v>22</v>
      </c>
      <c r="D727" s="11" t="s">
        <v>35</v>
      </c>
      <c r="E727" s="11" t="s">
        <v>55</v>
      </c>
      <c r="F727" s="11" t="s">
        <v>44</v>
      </c>
      <c r="G727" s="11" t="n">
        <v>4</v>
      </c>
      <c r="H727" s="21" t="n">
        <v>150</v>
      </c>
      <c r="I727" s="21" t="n">
        <v>82</v>
      </c>
      <c r="J727" s="22" t="n">
        <v>0.05</v>
      </c>
      <c r="K727" s="21" t="n">
        <f aca="false">G727*H727*(1-J727)</f>
        <v>570</v>
      </c>
      <c r="L727" s="21" t="n">
        <f aca="false">G727*I727</f>
        <v>328</v>
      </c>
      <c r="M727" s="21" t="n">
        <f aca="false">K727-L727</f>
        <v>242</v>
      </c>
      <c r="N727" s="11" t="str">
        <f aca="false">TEXT(B727,"mmm")</f>
        <v>Jul</v>
      </c>
    </row>
    <row r="728" customFormat="false" ht="15" hidden="false" customHeight="false" outlineLevel="0" collapsed="false">
      <c r="A728" s="11" t="s">
        <v>789</v>
      </c>
      <c r="B728" s="20" t="n">
        <v>45856</v>
      </c>
      <c r="C728" s="11" t="s">
        <v>18</v>
      </c>
      <c r="D728" s="11" t="s">
        <v>37</v>
      </c>
      <c r="E728" s="11" t="s">
        <v>49</v>
      </c>
      <c r="F728" s="11" t="s">
        <v>44</v>
      </c>
      <c r="G728" s="11" t="n">
        <v>14</v>
      </c>
      <c r="H728" s="21" t="n">
        <v>28</v>
      </c>
      <c r="I728" s="21" t="n">
        <v>17</v>
      </c>
      <c r="J728" s="22" t="n">
        <v>0.1</v>
      </c>
      <c r="K728" s="21" t="n">
        <f aca="false">G728*H728*(1-J728)</f>
        <v>352.8</v>
      </c>
      <c r="L728" s="21" t="n">
        <f aca="false">G728*I728</f>
        <v>238</v>
      </c>
      <c r="M728" s="21" t="n">
        <f aca="false">K728-L728</f>
        <v>114.8</v>
      </c>
      <c r="N728" s="11" t="str">
        <f aca="false">TEXT(B728,"mmm")</f>
        <v>Jul</v>
      </c>
    </row>
    <row r="729" customFormat="false" ht="15" hidden="false" customHeight="false" outlineLevel="0" collapsed="false">
      <c r="A729" s="11" t="s">
        <v>790</v>
      </c>
      <c r="B729" s="20" t="n">
        <v>45856</v>
      </c>
      <c r="C729" s="11" t="s">
        <v>20</v>
      </c>
      <c r="D729" s="11" t="s">
        <v>37</v>
      </c>
      <c r="E729" s="11" t="s">
        <v>52</v>
      </c>
      <c r="F729" s="11" t="s">
        <v>42</v>
      </c>
      <c r="G729" s="11" t="n">
        <v>17</v>
      </c>
      <c r="H729" s="21" t="n">
        <v>12</v>
      </c>
      <c r="I729" s="21" t="n">
        <v>6</v>
      </c>
      <c r="J729" s="22" t="n">
        <v>0.1</v>
      </c>
      <c r="K729" s="21" t="n">
        <f aca="false">G729*H729*(1-J729)</f>
        <v>183.6</v>
      </c>
      <c r="L729" s="21" t="n">
        <f aca="false">G729*I729</f>
        <v>102</v>
      </c>
      <c r="M729" s="21" t="n">
        <f aca="false">K729-L729</f>
        <v>81.6</v>
      </c>
      <c r="N729" s="11" t="str">
        <f aca="false">TEXT(B729,"mmm")</f>
        <v>Jul</v>
      </c>
    </row>
    <row r="730" customFormat="false" ht="15" hidden="false" customHeight="false" outlineLevel="0" collapsed="false">
      <c r="A730" s="11" t="s">
        <v>791</v>
      </c>
      <c r="B730" s="20" t="n">
        <v>45856</v>
      </c>
      <c r="C730" s="11" t="s">
        <v>18</v>
      </c>
      <c r="D730" s="11" t="s">
        <v>33</v>
      </c>
      <c r="E730" s="11" t="s">
        <v>50</v>
      </c>
      <c r="F730" s="11" t="s">
        <v>45</v>
      </c>
      <c r="G730" s="11" t="n">
        <v>3</v>
      </c>
      <c r="H730" s="21" t="n">
        <v>780</v>
      </c>
      <c r="I730" s="21" t="n">
        <v>600</v>
      </c>
      <c r="J730" s="22" t="n">
        <v>0.2</v>
      </c>
      <c r="K730" s="21" t="n">
        <f aca="false">G730*H730*(1-J730)</f>
        <v>1872</v>
      </c>
      <c r="L730" s="21" t="n">
        <f aca="false">G730*I730</f>
        <v>1800</v>
      </c>
      <c r="M730" s="21" t="n">
        <f aca="false">K730-L730</f>
        <v>72</v>
      </c>
      <c r="N730" s="11" t="str">
        <f aca="false">TEXT(B730,"mmm")</f>
        <v>Jul</v>
      </c>
    </row>
    <row r="731" customFormat="false" ht="15" hidden="false" customHeight="false" outlineLevel="0" collapsed="false">
      <c r="A731" s="11" t="s">
        <v>792</v>
      </c>
      <c r="B731" s="20" t="n">
        <v>45856</v>
      </c>
      <c r="C731" s="11" t="s">
        <v>20</v>
      </c>
      <c r="D731" s="11" t="s">
        <v>37</v>
      </c>
      <c r="E731" s="11" t="s">
        <v>49</v>
      </c>
      <c r="F731" s="11" t="s">
        <v>45</v>
      </c>
      <c r="G731" s="11" t="n">
        <v>9</v>
      </c>
      <c r="H731" s="21" t="n">
        <v>28</v>
      </c>
      <c r="I731" s="21" t="n">
        <v>17</v>
      </c>
      <c r="J731" s="22" t="n">
        <v>0.2</v>
      </c>
      <c r="K731" s="21" t="n">
        <f aca="false">G731*H731*(1-J731)</f>
        <v>201.6</v>
      </c>
      <c r="L731" s="21" t="n">
        <f aca="false">G731*I731</f>
        <v>153</v>
      </c>
      <c r="M731" s="21" t="n">
        <f aca="false">K731-L731</f>
        <v>48.6</v>
      </c>
      <c r="N731" s="11" t="str">
        <f aca="false">TEXT(B731,"mmm")</f>
        <v>Jul</v>
      </c>
    </row>
    <row r="732" customFormat="false" ht="15" hidden="false" customHeight="false" outlineLevel="0" collapsed="false">
      <c r="A732" s="11" t="s">
        <v>793</v>
      </c>
      <c r="B732" s="20" t="n">
        <v>45856</v>
      </c>
      <c r="C732" s="11" t="s">
        <v>22</v>
      </c>
      <c r="D732" s="11" t="s">
        <v>37</v>
      </c>
      <c r="E732" s="11" t="s">
        <v>49</v>
      </c>
      <c r="F732" s="11" t="s">
        <v>42</v>
      </c>
      <c r="G732" s="11" t="n">
        <v>27</v>
      </c>
      <c r="H732" s="21" t="n">
        <v>28</v>
      </c>
      <c r="I732" s="21" t="n">
        <v>17</v>
      </c>
      <c r="J732" s="22" t="n">
        <v>0.05</v>
      </c>
      <c r="K732" s="21" t="n">
        <f aca="false">G732*H732*(1-J732)</f>
        <v>718.2</v>
      </c>
      <c r="L732" s="21" t="n">
        <f aca="false">G732*I732</f>
        <v>459</v>
      </c>
      <c r="M732" s="21" t="n">
        <f aca="false">K732-L732</f>
        <v>259.2</v>
      </c>
      <c r="N732" s="11" t="str">
        <f aca="false">TEXT(B732,"mmm")</f>
        <v>Jul</v>
      </c>
    </row>
    <row r="733" customFormat="false" ht="15" hidden="false" customHeight="false" outlineLevel="0" collapsed="false">
      <c r="A733" s="11" t="s">
        <v>794</v>
      </c>
      <c r="B733" s="20" t="n">
        <v>45856</v>
      </c>
      <c r="C733" s="11" t="s">
        <v>18</v>
      </c>
      <c r="D733" s="11" t="s">
        <v>37</v>
      </c>
      <c r="E733" s="11" t="s">
        <v>49</v>
      </c>
      <c r="F733" s="11" t="s">
        <v>44</v>
      </c>
      <c r="G733" s="11" t="n">
        <v>21</v>
      </c>
      <c r="H733" s="21" t="n">
        <v>28</v>
      </c>
      <c r="I733" s="21" t="n">
        <v>17</v>
      </c>
      <c r="J733" s="22" t="n">
        <v>0.05</v>
      </c>
      <c r="K733" s="21" t="n">
        <f aca="false">G733*H733*(1-J733)</f>
        <v>558.6</v>
      </c>
      <c r="L733" s="21" t="n">
        <f aca="false">G733*I733</f>
        <v>357</v>
      </c>
      <c r="M733" s="21" t="n">
        <f aca="false">K733-L733</f>
        <v>201.6</v>
      </c>
      <c r="N733" s="11" t="str">
        <f aca="false">TEXT(B733,"mmm")</f>
        <v>Jul</v>
      </c>
    </row>
    <row r="734" customFormat="false" ht="15" hidden="false" customHeight="false" outlineLevel="0" collapsed="false">
      <c r="A734" s="11" t="s">
        <v>795</v>
      </c>
      <c r="B734" s="20" t="n">
        <v>45857</v>
      </c>
      <c r="C734" s="11" t="s">
        <v>22</v>
      </c>
      <c r="D734" s="11" t="s">
        <v>37</v>
      </c>
      <c r="E734" s="11" t="s">
        <v>53</v>
      </c>
      <c r="F734" s="11" t="s">
        <v>45</v>
      </c>
      <c r="G734" s="11" t="n">
        <v>96</v>
      </c>
      <c r="H734" s="21" t="n">
        <v>9</v>
      </c>
      <c r="I734" s="21" t="n">
        <v>4.5</v>
      </c>
      <c r="J734" s="22" t="n">
        <v>0.1</v>
      </c>
      <c r="K734" s="21" t="n">
        <f aca="false">G734*H734*(1-J734)</f>
        <v>777.6</v>
      </c>
      <c r="L734" s="21" t="n">
        <f aca="false">G734*I734</f>
        <v>432</v>
      </c>
      <c r="M734" s="21" t="n">
        <f aca="false">K734-L734</f>
        <v>345.6</v>
      </c>
      <c r="N734" s="11" t="str">
        <f aca="false">TEXT(B734,"mmm")</f>
        <v>Jul</v>
      </c>
    </row>
    <row r="735" customFormat="false" ht="15" hidden="false" customHeight="false" outlineLevel="0" collapsed="false">
      <c r="A735" s="11" t="s">
        <v>796</v>
      </c>
      <c r="B735" s="20" t="n">
        <v>45858</v>
      </c>
      <c r="C735" s="11" t="s">
        <v>18</v>
      </c>
      <c r="D735" s="11" t="s">
        <v>33</v>
      </c>
      <c r="E735" s="11" t="s">
        <v>51</v>
      </c>
      <c r="F735" s="11" t="s">
        <v>42</v>
      </c>
      <c r="G735" s="11" t="n">
        <v>4</v>
      </c>
      <c r="H735" s="21" t="n">
        <v>90</v>
      </c>
      <c r="I735" s="21" t="n">
        <v>58</v>
      </c>
      <c r="J735" s="22" t="n">
        <v>0.05</v>
      </c>
      <c r="K735" s="21" t="n">
        <f aca="false">G735*H735*(1-J735)</f>
        <v>342</v>
      </c>
      <c r="L735" s="21" t="n">
        <f aca="false">G735*I735</f>
        <v>232</v>
      </c>
      <c r="M735" s="21" t="n">
        <f aca="false">K735-L735</f>
        <v>110</v>
      </c>
      <c r="N735" s="11" t="str">
        <f aca="false">TEXT(B735,"mmm")</f>
        <v>Jul</v>
      </c>
    </row>
    <row r="736" customFormat="false" ht="15" hidden="false" customHeight="false" outlineLevel="0" collapsed="false">
      <c r="A736" s="11" t="s">
        <v>797</v>
      </c>
      <c r="B736" s="20" t="n">
        <v>45858</v>
      </c>
      <c r="C736" s="11" t="s">
        <v>20</v>
      </c>
      <c r="D736" s="11" t="s">
        <v>35</v>
      </c>
      <c r="E736" s="11" t="s">
        <v>55</v>
      </c>
      <c r="F736" s="11" t="s">
        <v>42</v>
      </c>
      <c r="G736" s="11" t="n">
        <v>4</v>
      </c>
      <c r="H736" s="21" t="n">
        <v>150</v>
      </c>
      <c r="I736" s="21" t="n">
        <v>82</v>
      </c>
      <c r="J736" s="22" t="n">
        <v>0</v>
      </c>
      <c r="K736" s="21" t="n">
        <f aca="false">G736*H736*(1-J736)</f>
        <v>600</v>
      </c>
      <c r="L736" s="21" t="n">
        <f aca="false">G736*I736</f>
        <v>328</v>
      </c>
      <c r="M736" s="21" t="n">
        <f aca="false">K736-L736</f>
        <v>272</v>
      </c>
      <c r="N736" s="11" t="str">
        <f aca="false">TEXT(B736,"mmm")</f>
        <v>Jul</v>
      </c>
    </row>
    <row r="737" customFormat="false" ht="15" hidden="false" customHeight="false" outlineLevel="0" collapsed="false">
      <c r="A737" s="11" t="s">
        <v>798</v>
      </c>
      <c r="B737" s="20" t="n">
        <v>45858</v>
      </c>
      <c r="C737" s="11" t="s">
        <v>22</v>
      </c>
      <c r="D737" s="11" t="s">
        <v>37</v>
      </c>
      <c r="E737" s="11" t="s">
        <v>49</v>
      </c>
      <c r="F737" s="11" t="s">
        <v>45</v>
      </c>
      <c r="G737" s="11" t="n">
        <v>24</v>
      </c>
      <c r="H737" s="21" t="n">
        <v>28</v>
      </c>
      <c r="I737" s="21" t="n">
        <v>17</v>
      </c>
      <c r="J737" s="22" t="n">
        <v>0.1</v>
      </c>
      <c r="K737" s="21" t="n">
        <f aca="false">G737*H737*(1-J737)</f>
        <v>604.8</v>
      </c>
      <c r="L737" s="21" t="n">
        <f aca="false">G737*I737</f>
        <v>408</v>
      </c>
      <c r="M737" s="21" t="n">
        <f aca="false">K737-L737</f>
        <v>196.8</v>
      </c>
      <c r="N737" s="11" t="str">
        <f aca="false">TEXT(B737,"mmm")</f>
        <v>Jul</v>
      </c>
    </row>
    <row r="738" customFormat="false" ht="15" hidden="false" customHeight="false" outlineLevel="0" collapsed="false">
      <c r="A738" s="11" t="s">
        <v>799</v>
      </c>
      <c r="B738" s="20" t="n">
        <v>45858</v>
      </c>
      <c r="C738" s="11" t="s">
        <v>20</v>
      </c>
      <c r="D738" s="11" t="s">
        <v>33</v>
      </c>
      <c r="E738" s="11" t="s">
        <v>51</v>
      </c>
      <c r="F738" s="11" t="s">
        <v>42</v>
      </c>
      <c r="G738" s="11" t="n">
        <v>1</v>
      </c>
      <c r="H738" s="21" t="n">
        <v>90</v>
      </c>
      <c r="I738" s="21" t="n">
        <v>58</v>
      </c>
      <c r="J738" s="22" t="n">
        <v>0.1</v>
      </c>
      <c r="K738" s="21" t="n">
        <f aca="false">G738*H738*(1-J738)</f>
        <v>81</v>
      </c>
      <c r="L738" s="21" t="n">
        <f aca="false">G738*I738</f>
        <v>58</v>
      </c>
      <c r="M738" s="21" t="n">
        <f aca="false">K738-L738</f>
        <v>23</v>
      </c>
      <c r="N738" s="11" t="str">
        <f aca="false">TEXT(B738,"mmm")</f>
        <v>Jul</v>
      </c>
    </row>
    <row r="739" customFormat="false" ht="15" hidden="false" customHeight="false" outlineLevel="0" collapsed="false">
      <c r="A739" s="11" t="s">
        <v>800</v>
      </c>
      <c r="B739" s="20" t="n">
        <v>45858</v>
      </c>
      <c r="C739" s="11" t="s">
        <v>22</v>
      </c>
      <c r="D739" s="11" t="s">
        <v>37</v>
      </c>
      <c r="E739" s="11" t="s">
        <v>49</v>
      </c>
      <c r="F739" s="11" t="s">
        <v>45</v>
      </c>
      <c r="G739" s="11" t="n">
        <v>117</v>
      </c>
      <c r="H739" s="21" t="n">
        <v>28</v>
      </c>
      <c r="I739" s="21" t="n">
        <v>17</v>
      </c>
      <c r="J739" s="22" t="n">
        <v>0.15</v>
      </c>
      <c r="K739" s="21" t="n">
        <f aca="false">G739*H739*(1-J739)</f>
        <v>2784.6</v>
      </c>
      <c r="L739" s="21" t="n">
        <f aca="false">G739*I739</f>
        <v>1989</v>
      </c>
      <c r="M739" s="21" t="n">
        <f aca="false">K739-L739</f>
        <v>795.6</v>
      </c>
      <c r="N739" s="11" t="str">
        <f aca="false">TEXT(B739,"mmm")</f>
        <v>Jul</v>
      </c>
    </row>
    <row r="740" customFormat="false" ht="15" hidden="false" customHeight="false" outlineLevel="0" collapsed="false">
      <c r="A740" s="11" t="s">
        <v>801</v>
      </c>
      <c r="B740" s="20" t="n">
        <v>45859</v>
      </c>
      <c r="C740" s="11" t="s">
        <v>20</v>
      </c>
      <c r="D740" s="11" t="s">
        <v>33</v>
      </c>
      <c r="E740" s="11" t="s">
        <v>51</v>
      </c>
      <c r="F740" s="11" t="s">
        <v>42</v>
      </c>
      <c r="G740" s="11" t="n">
        <v>5</v>
      </c>
      <c r="H740" s="21" t="n">
        <v>90</v>
      </c>
      <c r="I740" s="21" t="n">
        <v>58</v>
      </c>
      <c r="J740" s="22" t="n">
        <v>0.05</v>
      </c>
      <c r="K740" s="21" t="n">
        <f aca="false">G740*H740*(1-J740)</f>
        <v>427.5</v>
      </c>
      <c r="L740" s="21" t="n">
        <f aca="false">G740*I740</f>
        <v>290</v>
      </c>
      <c r="M740" s="21" t="n">
        <f aca="false">K740-L740</f>
        <v>137.5</v>
      </c>
      <c r="N740" s="11" t="str">
        <f aca="false">TEXT(B740,"mmm")</f>
        <v>Jul</v>
      </c>
    </row>
    <row r="741" customFormat="false" ht="15" hidden="false" customHeight="false" outlineLevel="0" collapsed="false">
      <c r="A741" s="11" t="s">
        <v>802</v>
      </c>
      <c r="B741" s="20" t="n">
        <v>45859</v>
      </c>
      <c r="C741" s="11" t="s">
        <v>20</v>
      </c>
      <c r="D741" s="11" t="s">
        <v>37</v>
      </c>
      <c r="E741" s="11" t="s">
        <v>52</v>
      </c>
      <c r="F741" s="11" t="s">
        <v>42</v>
      </c>
      <c r="G741" s="11" t="n">
        <v>23</v>
      </c>
      <c r="H741" s="21" t="n">
        <v>12</v>
      </c>
      <c r="I741" s="21" t="n">
        <v>6</v>
      </c>
      <c r="J741" s="22" t="n">
        <v>0.1</v>
      </c>
      <c r="K741" s="21" t="n">
        <f aca="false">G741*H741*(1-J741)</f>
        <v>248.4</v>
      </c>
      <c r="L741" s="21" t="n">
        <f aca="false">G741*I741</f>
        <v>138</v>
      </c>
      <c r="M741" s="21" t="n">
        <f aca="false">K741-L741</f>
        <v>110.4</v>
      </c>
      <c r="N741" s="11" t="str">
        <f aca="false">TEXT(B741,"mmm")</f>
        <v>Jul</v>
      </c>
    </row>
    <row r="742" customFormat="false" ht="15" hidden="false" customHeight="false" outlineLevel="0" collapsed="false">
      <c r="A742" s="11" t="s">
        <v>803</v>
      </c>
      <c r="B742" s="20" t="n">
        <v>45859</v>
      </c>
      <c r="C742" s="11" t="s">
        <v>24</v>
      </c>
      <c r="D742" s="11" t="s">
        <v>33</v>
      </c>
      <c r="E742" s="11" t="s">
        <v>51</v>
      </c>
      <c r="F742" s="11" t="s">
        <v>44</v>
      </c>
      <c r="G742" s="11" t="n">
        <v>5</v>
      </c>
      <c r="H742" s="21" t="n">
        <v>90</v>
      </c>
      <c r="I742" s="21" t="n">
        <v>58</v>
      </c>
      <c r="J742" s="22" t="n">
        <v>0.05</v>
      </c>
      <c r="K742" s="21" t="n">
        <f aca="false">G742*H742*(1-J742)</f>
        <v>427.5</v>
      </c>
      <c r="L742" s="21" t="n">
        <f aca="false">G742*I742</f>
        <v>290</v>
      </c>
      <c r="M742" s="21" t="n">
        <f aca="false">K742-L742</f>
        <v>137.5</v>
      </c>
      <c r="N742" s="11" t="str">
        <f aca="false">TEXT(B742,"mmm")</f>
        <v>Jul</v>
      </c>
    </row>
    <row r="743" customFormat="false" ht="15" hidden="false" customHeight="false" outlineLevel="0" collapsed="false">
      <c r="A743" s="11" t="s">
        <v>804</v>
      </c>
      <c r="B743" s="20" t="n">
        <v>45859</v>
      </c>
      <c r="C743" s="11" t="s">
        <v>24</v>
      </c>
      <c r="D743" s="11" t="s">
        <v>33</v>
      </c>
      <c r="E743" s="11" t="s">
        <v>51</v>
      </c>
      <c r="F743" s="11" t="s">
        <v>44</v>
      </c>
      <c r="G743" s="11" t="n">
        <v>4</v>
      </c>
      <c r="H743" s="21" t="n">
        <v>90</v>
      </c>
      <c r="I743" s="21" t="n">
        <v>58</v>
      </c>
      <c r="J743" s="22" t="n">
        <v>0.05</v>
      </c>
      <c r="K743" s="21" t="n">
        <f aca="false">G743*H743*(1-J743)</f>
        <v>342</v>
      </c>
      <c r="L743" s="21" t="n">
        <f aca="false">G743*I743</f>
        <v>232</v>
      </c>
      <c r="M743" s="21" t="n">
        <f aca="false">K743-L743</f>
        <v>110</v>
      </c>
      <c r="N743" s="11" t="str">
        <f aca="false">TEXT(B743,"mmm")</f>
        <v>Jul</v>
      </c>
    </row>
    <row r="744" customFormat="false" ht="15" hidden="false" customHeight="false" outlineLevel="0" collapsed="false">
      <c r="A744" s="11" t="s">
        <v>805</v>
      </c>
      <c r="B744" s="20" t="n">
        <v>45859</v>
      </c>
      <c r="C744" s="11" t="s">
        <v>20</v>
      </c>
      <c r="D744" s="11" t="s">
        <v>37</v>
      </c>
      <c r="E744" s="11" t="s">
        <v>53</v>
      </c>
      <c r="F744" s="11" t="s">
        <v>45</v>
      </c>
      <c r="G744" s="11" t="n">
        <v>90</v>
      </c>
      <c r="H744" s="21" t="n">
        <v>9</v>
      </c>
      <c r="I744" s="21" t="n">
        <v>4.5</v>
      </c>
      <c r="J744" s="22" t="n">
        <v>0.2</v>
      </c>
      <c r="K744" s="21" t="n">
        <f aca="false">G744*H744*(1-J744)</f>
        <v>648</v>
      </c>
      <c r="L744" s="21" t="n">
        <f aca="false">G744*I744</f>
        <v>405</v>
      </c>
      <c r="M744" s="21" t="n">
        <f aca="false">K744-L744</f>
        <v>243</v>
      </c>
      <c r="N744" s="11" t="str">
        <f aca="false">TEXT(B744,"mmm")</f>
        <v>Jul</v>
      </c>
    </row>
    <row r="745" customFormat="false" ht="15" hidden="false" customHeight="false" outlineLevel="0" collapsed="false">
      <c r="A745" s="11" t="s">
        <v>806</v>
      </c>
      <c r="B745" s="20" t="n">
        <v>45859</v>
      </c>
      <c r="C745" s="11" t="s">
        <v>22</v>
      </c>
      <c r="D745" s="11" t="s">
        <v>33</v>
      </c>
      <c r="E745" s="11" t="s">
        <v>51</v>
      </c>
      <c r="F745" s="11" t="s">
        <v>42</v>
      </c>
      <c r="G745" s="11" t="n">
        <v>2</v>
      </c>
      <c r="H745" s="21" t="n">
        <v>90</v>
      </c>
      <c r="I745" s="21" t="n">
        <v>58</v>
      </c>
      <c r="J745" s="22" t="n">
        <v>0.1</v>
      </c>
      <c r="K745" s="21" t="n">
        <f aca="false">G745*H745*(1-J745)</f>
        <v>162</v>
      </c>
      <c r="L745" s="21" t="n">
        <f aca="false">G745*I745</f>
        <v>116</v>
      </c>
      <c r="M745" s="21" t="n">
        <f aca="false">K745-L745</f>
        <v>46</v>
      </c>
      <c r="N745" s="11" t="str">
        <f aca="false">TEXT(B745,"mmm")</f>
        <v>Jul</v>
      </c>
    </row>
    <row r="746" customFormat="false" ht="15" hidden="false" customHeight="false" outlineLevel="0" collapsed="false">
      <c r="A746" s="11" t="s">
        <v>807</v>
      </c>
      <c r="B746" s="20" t="n">
        <v>45859</v>
      </c>
      <c r="C746" s="11" t="s">
        <v>22</v>
      </c>
      <c r="D746" s="11" t="s">
        <v>33</v>
      </c>
      <c r="E746" s="11" t="s">
        <v>48</v>
      </c>
      <c r="F746" s="11" t="s">
        <v>42</v>
      </c>
      <c r="G746" s="11" t="n">
        <v>1</v>
      </c>
      <c r="H746" s="21" t="n">
        <v>520</v>
      </c>
      <c r="I746" s="21" t="n">
        <v>415</v>
      </c>
      <c r="J746" s="22" t="n">
        <v>0.1</v>
      </c>
      <c r="K746" s="21" t="n">
        <f aca="false">G746*H746*(1-J746)</f>
        <v>468</v>
      </c>
      <c r="L746" s="21" t="n">
        <f aca="false">G746*I746</f>
        <v>415</v>
      </c>
      <c r="M746" s="21" t="n">
        <f aca="false">K746-L746</f>
        <v>53</v>
      </c>
      <c r="N746" s="11" t="str">
        <f aca="false">TEXT(B746,"mmm")</f>
        <v>Jul</v>
      </c>
    </row>
    <row r="747" customFormat="false" ht="15" hidden="false" customHeight="false" outlineLevel="0" collapsed="false">
      <c r="A747" s="11" t="s">
        <v>808</v>
      </c>
      <c r="B747" s="20" t="n">
        <v>45859</v>
      </c>
      <c r="C747" s="11" t="s">
        <v>18</v>
      </c>
      <c r="D747" s="11" t="s">
        <v>35</v>
      </c>
      <c r="E747" s="11" t="s">
        <v>55</v>
      </c>
      <c r="F747" s="11" t="s">
        <v>44</v>
      </c>
      <c r="G747" s="11" t="n">
        <v>3</v>
      </c>
      <c r="H747" s="21" t="n">
        <v>150</v>
      </c>
      <c r="I747" s="21" t="n">
        <v>82</v>
      </c>
      <c r="J747" s="22" t="n">
        <v>0.05</v>
      </c>
      <c r="K747" s="21" t="n">
        <f aca="false">G747*H747*(1-J747)</f>
        <v>427.5</v>
      </c>
      <c r="L747" s="21" t="n">
        <f aca="false">G747*I747</f>
        <v>246</v>
      </c>
      <c r="M747" s="21" t="n">
        <f aca="false">K747-L747</f>
        <v>181.5</v>
      </c>
      <c r="N747" s="11" t="str">
        <f aca="false">TEXT(B747,"mmm")</f>
        <v>Jul</v>
      </c>
    </row>
    <row r="748" customFormat="false" ht="15" hidden="false" customHeight="false" outlineLevel="0" collapsed="false">
      <c r="A748" s="11" t="s">
        <v>809</v>
      </c>
      <c r="B748" s="20" t="n">
        <v>45860</v>
      </c>
      <c r="C748" s="11" t="s">
        <v>22</v>
      </c>
      <c r="D748" s="11" t="s">
        <v>37</v>
      </c>
      <c r="E748" s="11" t="s">
        <v>53</v>
      </c>
      <c r="F748" s="11" t="s">
        <v>44</v>
      </c>
      <c r="G748" s="11" t="n">
        <v>1</v>
      </c>
      <c r="H748" s="21" t="n">
        <v>9</v>
      </c>
      <c r="I748" s="21" t="n">
        <v>4.5</v>
      </c>
      <c r="J748" s="22" t="n">
        <v>0.05</v>
      </c>
      <c r="K748" s="21" t="n">
        <f aca="false">G748*H748*(1-J748)</f>
        <v>8.55</v>
      </c>
      <c r="L748" s="21" t="n">
        <f aca="false">G748*I748</f>
        <v>4.5</v>
      </c>
      <c r="M748" s="21" t="n">
        <f aca="false">K748-L748</f>
        <v>4.05</v>
      </c>
      <c r="N748" s="11" t="str">
        <f aca="false">TEXT(B748,"mmm")</f>
        <v>Jul</v>
      </c>
    </row>
    <row r="749" customFormat="false" ht="15" hidden="false" customHeight="false" outlineLevel="0" collapsed="false">
      <c r="A749" s="11" t="s">
        <v>810</v>
      </c>
      <c r="B749" s="20" t="n">
        <v>45860</v>
      </c>
      <c r="C749" s="11" t="s">
        <v>20</v>
      </c>
      <c r="D749" s="11" t="s">
        <v>37</v>
      </c>
      <c r="E749" s="11" t="s">
        <v>52</v>
      </c>
      <c r="F749" s="11" t="s">
        <v>42</v>
      </c>
      <c r="G749" s="11" t="n">
        <v>36</v>
      </c>
      <c r="H749" s="21" t="n">
        <v>12</v>
      </c>
      <c r="I749" s="21" t="n">
        <v>6</v>
      </c>
      <c r="J749" s="22" t="n">
        <v>0.05</v>
      </c>
      <c r="K749" s="21" t="n">
        <f aca="false">G749*H749*(1-J749)</f>
        <v>410.4</v>
      </c>
      <c r="L749" s="21" t="n">
        <f aca="false">G749*I749</f>
        <v>216</v>
      </c>
      <c r="M749" s="21" t="n">
        <f aca="false">K749-L749</f>
        <v>194.4</v>
      </c>
      <c r="N749" s="11" t="str">
        <f aca="false">TEXT(B749,"mmm")</f>
        <v>Jul</v>
      </c>
    </row>
    <row r="750" customFormat="false" ht="15" hidden="false" customHeight="false" outlineLevel="0" collapsed="false">
      <c r="A750" s="11" t="s">
        <v>811</v>
      </c>
      <c r="B750" s="20" t="n">
        <v>45861</v>
      </c>
      <c r="C750" s="11" t="s">
        <v>24</v>
      </c>
      <c r="D750" s="11" t="s">
        <v>33</v>
      </c>
      <c r="E750" s="11" t="s">
        <v>48</v>
      </c>
      <c r="F750" s="11" t="s">
        <v>44</v>
      </c>
      <c r="G750" s="11" t="n">
        <v>1</v>
      </c>
      <c r="H750" s="21" t="n">
        <v>520</v>
      </c>
      <c r="I750" s="21" t="n">
        <v>415</v>
      </c>
      <c r="J750" s="22" t="n">
        <v>0.05</v>
      </c>
      <c r="K750" s="21" t="n">
        <f aca="false">G750*H750*(1-J750)</f>
        <v>494</v>
      </c>
      <c r="L750" s="21" t="n">
        <f aca="false">G750*I750</f>
        <v>415</v>
      </c>
      <c r="M750" s="21" t="n">
        <f aca="false">K750-L750</f>
        <v>79</v>
      </c>
      <c r="N750" s="11" t="str">
        <f aca="false">TEXT(B750,"mmm")</f>
        <v>Jul</v>
      </c>
    </row>
    <row r="751" customFormat="false" ht="15" hidden="false" customHeight="false" outlineLevel="0" collapsed="false">
      <c r="A751" s="11" t="s">
        <v>812</v>
      </c>
      <c r="B751" s="20" t="n">
        <v>45861</v>
      </c>
      <c r="C751" s="11" t="s">
        <v>18</v>
      </c>
      <c r="D751" s="11" t="s">
        <v>37</v>
      </c>
      <c r="E751" s="11" t="s">
        <v>49</v>
      </c>
      <c r="F751" s="11" t="s">
        <v>42</v>
      </c>
      <c r="G751" s="11" t="n">
        <v>32</v>
      </c>
      <c r="H751" s="21" t="n">
        <v>28</v>
      </c>
      <c r="I751" s="21" t="n">
        <v>17</v>
      </c>
      <c r="J751" s="22" t="n">
        <v>0.05</v>
      </c>
      <c r="K751" s="21" t="n">
        <f aca="false">G751*H751*(1-J751)</f>
        <v>851.2</v>
      </c>
      <c r="L751" s="21" t="n">
        <f aca="false">G751*I751</f>
        <v>544</v>
      </c>
      <c r="M751" s="21" t="n">
        <f aca="false">K751-L751</f>
        <v>307.2</v>
      </c>
      <c r="N751" s="11" t="str">
        <f aca="false">TEXT(B751,"mmm")</f>
        <v>Jul</v>
      </c>
    </row>
    <row r="752" customFormat="false" ht="15" hidden="false" customHeight="false" outlineLevel="0" collapsed="false">
      <c r="A752" s="11" t="s">
        <v>813</v>
      </c>
      <c r="B752" s="20" t="n">
        <v>45861</v>
      </c>
      <c r="C752" s="11" t="s">
        <v>18</v>
      </c>
      <c r="D752" s="11" t="s">
        <v>37</v>
      </c>
      <c r="E752" s="11" t="s">
        <v>49</v>
      </c>
      <c r="F752" s="11" t="s">
        <v>42</v>
      </c>
      <c r="G752" s="11" t="n">
        <v>22</v>
      </c>
      <c r="H752" s="21" t="n">
        <v>28</v>
      </c>
      <c r="I752" s="21" t="n">
        <v>17</v>
      </c>
      <c r="J752" s="22" t="n">
        <v>0.05</v>
      </c>
      <c r="K752" s="21" t="n">
        <f aca="false">G752*H752*(1-J752)</f>
        <v>585.2</v>
      </c>
      <c r="L752" s="21" t="n">
        <f aca="false">G752*I752</f>
        <v>374</v>
      </c>
      <c r="M752" s="21" t="n">
        <f aca="false">K752-L752</f>
        <v>211.2</v>
      </c>
      <c r="N752" s="11" t="str">
        <f aca="false">TEXT(B752,"mmm")</f>
        <v>Jul</v>
      </c>
    </row>
    <row r="753" customFormat="false" ht="15" hidden="false" customHeight="false" outlineLevel="0" collapsed="false">
      <c r="A753" s="11" t="s">
        <v>814</v>
      </c>
      <c r="B753" s="20" t="n">
        <v>45861</v>
      </c>
      <c r="C753" s="11" t="s">
        <v>22</v>
      </c>
      <c r="D753" s="11" t="s">
        <v>37</v>
      </c>
      <c r="E753" s="11" t="s">
        <v>53</v>
      </c>
      <c r="F753" s="11" t="s">
        <v>42</v>
      </c>
      <c r="G753" s="11" t="n">
        <v>12</v>
      </c>
      <c r="H753" s="21" t="n">
        <v>9</v>
      </c>
      <c r="I753" s="21" t="n">
        <v>4.5</v>
      </c>
      <c r="J753" s="22" t="n">
        <v>0.1</v>
      </c>
      <c r="K753" s="21" t="n">
        <f aca="false">G753*H753*(1-J753)</f>
        <v>97.2</v>
      </c>
      <c r="L753" s="21" t="n">
        <f aca="false">G753*I753</f>
        <v>54</v>
      </c>
      <c r="M753" s="21" t="n">
        <f aca="false">K753-L753</f>
        <v>43.2</v>
      </c>
      <c r="N753" s="11" t="str">
        <f aca="false">TEXT(B753,"mmm")</f>
        <v>Jul</v>
      </c>
    </row>
    <row r="754" customFormat="false" ht="15" hidden="false" customHeight="false" outlineLevel="0" collapsed="false">
      <c r="A754" s="11" t="s">
        <v>815</v>
      </c>
      <c r="B754" s="20" t="n">
        <v>45862</v>
      </c>
      <c r="C754" s="11" t="s">
        <v>24</v>
      </c>
      <c r="D754" s="11" t="s">
        <v>35</v>
      </c>
      <c r="E754" s="11" t="s">
        <v>56</v>
      </c>
      <c r="F754" s="11" t="s">
        <v>42</v>
      </c>
      <c r="G754" s="11" t="n">
        <v>2</v>
      </c>
      <c r="H754" s="21" t="n">
        <v>110</v>
      </c>
      <c r="I754" s="21" t="n">
        <v>62</v>
      </c>
      <c r="J754" s="22" t="n">
        <v>0.05</v>
      </c>
      <c r="K754" s="21" t="n">
        <f aca="false">G754*H754*(1-J754)</f>
        <v>209</v>
      </c>
      <c r="L754" s="21" t="n">
        <f aca="false">G754*I754</f>
        <v>124</v>
      </c>
      <c r="M754" s="21" t="n">
        <f aca="false">K754-L754</f>
        <v>85</v>
      </c>
      <c r="N754" s="11" t="str">
        <f aca="false">TEXT(B754,"mmm")</f>
        <v>Jul</v>
      </c>
    </row>
    <row r="755" customFormat="false" ht="15" hidden="false" customHeight="false" outlineLevel="0" collapsed="false">
      <c r="A755" s="11" t="s">
        <v>816</v>
      </c>
      <c r="B755" s="20" t="n">
        <v>45862</v>
      </c>
      <c r="C755" s="11" t="s">
        <v>20</v>
      </c>
      <c r="D755" s="11" t="s">
        <v>37</v>
      </c>
      <c r="E755" s="11" t="s">
        <v>49</v>
      </c>
      <c r="F755" s="11" t="s">
        <v>42</v>
      </c>
      <c r="G755" s="11" t="n">
        <v>35</v>
      </c>
      <c r="H755" s="21" t="n">
        <v>28</v>
      </c>
      <c r="I755" s="21" t="n">
        <v>17</v>
      </c>
      <c r="J755" s="22" t="n">
        <v>0</v>
      </c>
      <c r="K755" s="21" t="n">
        <f aca="false">G755*H755*(1-J755)</f>
        <v>980</v>
      </c>
      <c r="L755" s="21" t="n">
        <f aca="false">G755*I755</f>
        <v>595</v>
      </c>
      <c r="M755" s="21" t="n">
        <f aca="false">K755-L755</f>
        <v>385</v>
      </c>
      <c r="N755" s="11" t="str">
        <f aca="false">TEXT(B755,"mmm")</f>
        <v>Jul</v>
      </c>
    </row>
    <row r="756" customFormat="false" ht="15" hidden="false" customHeight="false" outlineLevel="0" collapsed="false">
      <c r="A756" s="11" t="s">
        <v>817</v>
      </c>
      <c r="B756" s="20" t="n">
        <v>45862</v>
      </c>
      <c r="C756" s="11" t="s">
        <v>22</v>
      </c>
      <c r="D756" s="11" t="s">
        <v>33</v>
      </c>
      <c r="E756" s="11" t="s">
        <v>51</v>
      </c>
      <c r="F756" s="11" t="s">
        <v>44</v>
      </c>
      <c r="G756" s="11" t="n">
        <v>5</v>
      </c>
      <c r="H756" s="21" t="n">
        <v>90</v>
      </c>
      <c r="I756" s="21" t="n">
        <v>58</v>
      </c>
      <c r="J756" s="22" t="n">
        <v>0</v>
      </c>
      <c r="K756" s="21" t="n">
        <f aca="false">G756*H756*(1-J756)</f>
        <v>450</v>
      </c>
      <c r="L756" s="21" t="n">
        <f aca="false">G756*I756</f>
        <v>290</v>
      </c>
      <c r="M756" s="21" t="n">
        <f aca="false">K756-L756</f>
        <v>160</v>
      </c>
      <c r="N756" s="11" t="str">
        <f aca="false">TEXT(B756,"mmm")</f>
        <v>Jul</v>
      </c>
    </row>
    <row r="757" customFormat="false" ht="15" hidden="false" customHeight="false" outlineLevel="0" collapsed="false">
      <c r="A757" s="11" t="s">
        <v>818</v>
      </c>
      <c r="B757" s="20" t="n">
        <v>45863</v>
      </c>
      <c r="C757" s="11" t="s">
        <v>20</v>
      </c>
      <c r="D757" s="11" t="s">
        <v>35</v>
      </c>
      <c r="E757" s="11" t="s">
        <v>55</v>
      </c>
      <c r="F757" s="11" t="s">
        <v>44</v>
      </c>
      <c r="G757" s="11" t="n">
        <v>1</v>
      </c>
      <c r="H757" s="21" t="n">
        <v>150</v>
      </c>
      <c r="I757" s="21" t="n">
        <v>82</v>
      </c>
      <c r="J757" s="22" t="n">
        <v>0</v>
      </c>
      <c r="K757" s="21" t="n">
        <f aca="false">G757*H757*(1-J757)</f>
        <v>150</v>
      </c>
      <c r="L757" s="21" t="n">
        <f aca="false">G757*I757</f>
        <v>82</v>
      </c>
      <c r="M757" s="21" t="n">
        <f aca="false">K757-L757</f>
        <v>68</v>
      </c>
      <c r="N757" s="11" t="str">
        <f aca="false">TEXT(B757,"mmm")</f>
        <v>Jul</v>
      </c>
    </row>
    <row r="758" customFormat="false" ht="15" hidden="false" customHeight="false" outlineLevel="0" collapsed="false">
      <c r="A758" s="11" t="s">
        <v>819</v>
      </c>
      <c r="B758" s="20" t="n">
        <v>45863</v>
      </c>
      <c r="C758" s="11" t="s">
        <v>18</v>
      </c>
      <c r="D758" s="11" t="s">
        <v>37</v>
      </c>
      <c r="E758" s="11" t="s">
        <v>49</v>
      </c>
      <c r="F758" s="11" t="s">
        <v>42</v>
      </c>
      <c r="G758" s="11" t="n">
        <v>25</v>
      </c>
      <c r="H758" s="21" t="n">
        <v>28</v>
      </c>
      <c r="I758" s="21" t="n">
        <v>17</v>
      </c>
      <c r="J758" s="22" t="n">
        <v>0.1</v>
      </c>
      <c r="K758" s="21" t="n">
        <f aca="false">G758*H758*(1-J758)</f>
        <v>630</v>
      </c>
      <c r="L758" s="21" t="n">
        <f aca="false">G758*I758</f>
        <v>425</v>
      </c>
      <c r="M758" s="21" t="n">
        <f aca="false">K758-L758</f>
        <v>205</v>
      </c>
      <c r="N758" s="11" t="str">
        <f aca="false">TEXT(B758,"mmm")</f>
        <v>Jul</v>
      </c>
    </row>
    <row r="759" customFormat="false" ht="15" hidden="false" customHeight="false" outlineLevel="0" collapsed="false">
      <c r="A759" s="11" t="s">
        <v>820</v>
      </c>
      <c r="B759" s="20" t="n">
        <v>45863</v>
      </c>
      <c r="C759" s="11" t="s">
        <v>20</v>
      </c>
      <c r="D759" s="11" t="s">
        <v>35</v>
      </c>
      <c r="E759" s="11" t="s">
        <v>55</v>
      </c>
      <c r="F759" s="11" t="s">
        <v>42</v>
      </c>
      <c r="G759" s="11" t="n">
        <v>1</v>
      </c>
      <c r="H759" s="21" t="n">
        <v>150</v>
      </c>
      <c r="I759" s="21" t="n">
        <v>82</v>
      </c>
      <c r="J759" s="22" t="n">
        <v>0.05</v>
      </c>
      <c r="K759" s="21" t="n">
        <f aca="false">G759*H759*(1-J759)</f>
        <v>142.5</v>
      </c>
      <c r="L759" s="21" t="n">
        <f aca="false">G759*I759</f>
        <v>82</v>
      </c>
      <c r="M759" s="21" t="n">
        <f aca="false">K759-L759</f>
        <v>60.5</v>
      </c>
      <c r="N759" s="11" t="str">
        <f aca="false">TEXT(B759,"mmm")</f>
        <v>Jul</v>
      </c>
    </row>
    <row r="760" customFormat="false" ht="15" hidden="false" customHeight="false" outlineLevel="0" collapsed="false">
      <c r="A760" s="11" t="s">
        <v>821</v>
      </c>
      <c r="B760" s="20" t="n">
        <v>45863</v>
      </c>
      <c r="C760" s="11" t="s">
        <v>18</v>
      </c>
      <c r="D760" s="11" t="s">
        <v>37</v>
      </c>
      <c r="E760" s="11" t="s">
        <v>53</v>
      </c>
      <c r="F760" s="11" t="s">
        <v>45</v>
      </c>
      <c r="G760" s="11" t="n">
        <v>18</v>
      </c>
      <c r="H760" s="21" t="n">
        <v>9</v>
      </c>
      <c r="I760" s="21" t="n">
        <v>4.5</v>
      </c>
      <c r="J760" s="22" t="n">
        <v>0.15</v>
      </c>
      <c r="K760" s="21" t="n">
        <f aca="false">G760*H760*(1-J760)</f>
        <v>137.7</v>
      </c>
      <c r="L760" s="21" t="n">
        <f aca="false">G760*I760</f>
        <v>81</v>
      </c>
      <c r="M760" s="21" t="n">
        <f aca="false">K760-L760</f>
        <v>56.7</v>
      </c>
      <c r="N760" s="11" t="str">
        <f aca="false">TEXT(B760,"mmm")</f>
        <v>Jul</v>
      </c>
    </row>
    <row r="761" customFormat="false" ht="15" hidden="false" customHeight="false" outlineLevel="0" collapsed="false">
      <c r="A761" s="11" t="s">
        <v>822</v>
      </c>
      <c r="B761" s="20" t="n">
        <v>45864</v>
      </c>
      <c r="C761" s="11" t="s">
        <v>20</v>
      </c>
      <c r="D761" s="11" t="s">
        <v>37</v>
      </c>
      <c r="E761" s="11" t="s">
        <v>52</v>
      </c>
      <c r="F761" s="11" t="s">
        <v>45</v>
      </c>
      <c r="G761" s="11" t="n">
        <v>30</v>
      </c>
      <c r="H761" s="21" t="n">
        <v>12</v>
      </c>
      <c r="I761" s="21" t="n">
        <v>6</v>
      </c>
      <c r="J761" s="22" t="n">
        <v>0.15</v>
      </c>
      <c r="K761" s="21" t="n">
        <f aca="false">G761*H761*(1-J761)</f>
        <v>306</v>
      </c>
      <c r="L761" s="21" t="n">
        <f aca="false">G761*I761</f>
        <v>180</v>
      </c>
      <c r="M761" s="21" t="n">
        <f aca="false">K761-L761</f>
        <v>126</v>
      </c>
      <c r="N761" s="11" t="str">
        <f aca="false">TEXT(B761,"mmm")</f>
        <v>Jul</v>
      </c>
    </row>
    <row r="762" customFormat="false" ht="15" hidden="false" customHeight="false" outlineLevel="0" collapsed="false">
      <c r="A762" s="11" t="s">
        <v>823</v>
      </c>
      <c r="B762" s="20" t="n">
        <v>45864</v>
      </c>
      <c r="C762" s="11" t="s">
        <v>18</v>
      </c>
      <c r="D762" s="11" t="s">
        <v>37</v>
      </c>
      <c r="E762" s="11" t="s">
        <v>53</v>
      </c>
      <c r="F762" s="11" t="s">
        <v>44</v>
      </c>
      <c r="G762" s="11" t="n">
        <v>17</v>
      </c>
      <c r="H762" s="21" t="n">
        <v>9</v>
      </c>
      <c r="I762" s="21" t="n">
        <v>4.5</v>
      </c>
      <c r="J762" s="22" t="n">
        <v>0</v>
      </c>
      <c r="K762" s="21" t="n">
        <f aca="false">G762*H762*(1-J762)</f>
        <v>153</v>
      </c>
      <c r="L762" s="21" t="n">
        <f aca="false">G762*I762</f>
        <v>76.5</v>
      </c>
      <c r="M762" s="21" t="n">
        <f aca="false">K762-L762</f>
        <v>76.5</v>
      </c>
      <c r="N762" s="11" t="str">
        <f aca="false">TEXT(B762,"mmm")</f>
        <v>Jul</v>
      </c>
    </row>
    <row r="763" customFormat="false" ht="15" hidden="false" customHeight="false" outlineLevel="0" collapsed="false">
      <c r="A763" s="11" t="s">
        <v>824</v>
      </c>
      <c r="B763" s="20" t="n">
        <v>45864</v>
      </c>
      <c r="C763" s="11" t="s">
        <v>18</v>
      </c>
      <c r="D763" s="11" t="s">
        <v>35</v>
      </c>
      <c r="E763" s="11" t="s">
        <v>54</v>
      </c>
      <c r="F763" s="11" t="s">
        <v>45</v>
      </c>
      <c r="G763" s="11" t="n">
        <v>3</v>
      </c>
      <c r="H763" s="21" t="n">
        <v>320</v>
      </c>
      <c r="I763" s="21" t="n">
        <v>185</v>
      </c>
      <c r="J763" s="22" t="n">
        <v>0.15</v>
      </c>
      <c r="K763" s="21" t="n">
        <f aca="false">G763*H763*(1-J763)</f>
        <v>816</v>
      </c>
      <c r="L763" s="21" t="n">
        <f aca="false">G763*I763</f>
        <v>555</v>
      </c>
      <c r="M763" s="21" t="n">
        <f aca="false">K763-L763</f>
        <v>261</v>
      </c>
      <c r="N763" s="11" t="str">
        <f aca="false">TEXT(B763,"mmm")</f>
        <v>Jul</v>
      </c>
    </row>
    <row r="764" customFormat="false" ht="15" hidden="false" customHeight="false" outlineLevel="0" collapsed="false">
      <c r="A764" s="11" t="s">
        <v>825</v>
      </c>
      <c r="B764" s="20" t="n">
        <v>45864</v>
      </c>
      <c r="C764" s="11" t="s">
        <v>18</v>
      </c>
      <c r="D764" s="11" t="s">
        <v>35</v>
      </c>
      <c r="E764" s="11" t="s">
        <v>55</v>
      </c>
      <c r="F764" s="11" t="s">
        <v>44</v>
      </c>
      <c r="G764" s="11" t="n">
        <v>1</v>
      </c>
      <c r="H764" s="21" t="n">
        <v>150</v>
      </c>
      <c r="I764" s="21" t="n">
        <v>82</v>
      </c>
      <c r="J764" s="22" t="n">
        <v>0</v>
      </c>
      <c r="K764" s="21" t="n">
        <f aca="false">G764*H764*(1-J764)</f>
        <v>150</v>
      </c>
      <c r="L764" s="21" t="n">
        <f aca="false">G764*I764</f>
        <v>82</v>
      </c>
      <c r="M764" s="21" t="n">
        <f aca="false">K764-L764</f>
        <v>68</v>
      </c>
      <c r="N764" s="11" t="str">
        <f aca="false">TEXT(B764,"mmm")</f>
        <v>Jul</v>
      </c>
    </row>
    <row r="765" customFormat="false" ht="15" hidden="false" customHeight="false" outlineLevel="0" collapsed="false">
      <c r="A765" s="11" t="s">
        <v>826</v>
      </c>
      <c r="B765" s="20" t="n">
        <v>45865</v>
      </c>
      <c r="C765" s="11" t="s">
        <v>20</v>
      </c>
      <c r="D765" s="11" t="s">
        <v>35</v>
      </c>
      <c r="E765" s="11" t="s">
        <v>55</v>
      </c>
      <c r="F765" s="11" t="s">
        <v>42</v>
      </c>
      <c r="G765" s="11" t="n">
        <v>3</v>
      </c>
      <c r="H765" s="21" t="n">
        <v>150</v>
      </c>
      <c r="I765" s="21" t="n">
        <v>82</v>
      </c>
      <c r="J765" s="22" t="n">
        <v>0.05</v>
      </c>
      <c r="K765" s="21" t="n">
        <f aca="false">G765*H765*(1-J765)</f>
        <v>427.5</v>
      </c>
      <c r="L765" s="21" t="n">
        <f aca="false">G765*I765</f>
        <v>246</v>
      </c>
      <c r="M765" s="21" t="n">
        <f aca="false">K765-L765</f>
        <v>181.5</v>
      </c>
      <c r="N765" s="11" t="str">
        <f aca="false">TEXT(B765,"mmm")</f>
        <v>Jul</v>
      </c>
    </row>
    <row r="766" customFormat="false" ht="15" hidden="false" customHeight="false" outlineLevel="0" collapsed="false">
      <c r="A766" s="11" t="s">
        <v>827</v>
      </c>
      <c r="B766" s="20" t="n">
        <v>45865</v>
      </c>
      <c r="C766" s="11" t="s">
        <v>18</v>
      </c>
      <c r="D766" s="11" t="s">
        <v>37</v>
      </c>
      <c r="E766" s="11" t="s">
        <v>49</v>
      </c>
      <c r="F766" s="11" t="s">
        <v>44</v>
      </c>
      <c r="G766" s="11" t="n">
        <v>39</v>
      </c>
      <c r="H766" s="21" t="n">
        <v>28</v>
      </c>
      <c r="I766" s="21" t="n">
        <v>17</v>
      </c>
      <c r="J766" s="22" t="n">
        <v>0</v>
      </c>
      <c r="K766" s="21" t="n">
        <f aca="false">G766*H766*(1-J766)</f>
        <v>1092</v>
      </c>
      <c r="L766" s="21" t="n">
        <f aca="false">G766*I766</f>
        <v>663</v>
      </c>
      <c r="M766" s="21" t="n">
        <f aca="false">K766-L766</f>
        <v>429</v>
      </c>
      <c r="N766" s="11" t="str">
        <f aca="false">TEXT(B766,"mmm")</f>
        <v>Jul</v>
      </c>
    </row>
    <row r="767" customFormat="false" ht="15" hidden="false" customHeight="false" outlineLevel="0" collapsed="false">
      <c r="A767" s="11" t="s">
        <v>828</v>
      </c>
      <c r="B767" s="20" t="n">
        <v>45865</v>
      </c>
      <c r="C767" s="11" t="s">
        <v>20</v>
      </c>
      <c r="D767" s="11" t="s">
        <v>37</v>
      </c>
      <c r="E767" s="11" t="s">
        <v>52</v>
      </c>
      <c r="F767" s="11" t="s">
        <v>42</v>
      </c>
      <c r="G767" s="11" t="n">
        <v>1</v>
      </c>
      <c r="H767" s="21" t="n">
        <v>12</v>
      </c>
      <c r="I767" s="21" t="n">
        <v>6</v>
      </c>
      <c r="J767" s="22" t="n">
        <v>0.05</v>
      </c>
      <c r="K767" s="21" t="n">
        <f aca="false">G767*H767*(1-J767)</f>
        <v>11.4</v>
      </c>
      <c r="L767" s="21" t="n">
        <f aca="false">G767*I767</f>
        <v>6</v>
      </c>
      <c r="M767" s="21" t="n">
        <f aca="false">K767-L767</f>
        <v>5.4</v>
      </c>
      <c r="N767" s="11" t="str">
        <f aca="false">TEXT(B767,"mmm")</f>
        <v>Jul</v>
      </c>
    </row>
    <row r="768" customFormat="false" ht="15" hidden="false" customHeight="false" outlineLevel="0" collapsed="false">
      <c r="A768" s="11" t="s">
        <v>829</v>
      </c>
      <c r="B768" s="20" t="n">
        <v>45866</v>
      </c>
      <c r="C768" s="11" t="s">
        <v>18</v>
      </c>
      <c r="D768" s="11" t="s">
        <v>37</v>
      </c>
      <c r="E768" s="11" t="s">
        <v>52</v>
      </c>
      <c r="F768" s="11" t="s">
        <v>44</v>
      </c>
      <c r="G768" s="11" t="n">
        <v>16</v>
      </c>
      <c r="H768" s="21" t="n">
        <v>12</v>
      </c>
      <c r="I768" s="21" t="n">
        <v>6</v>
      </c>
      <c r="J768" s="22" t="n">
        <v>0</v>
      </c>
      <c r="K768" s="21" t="n">
        <f aca="false">G768*H768*(1-J768)</f>
        <v>192</v>
      </c>
      <c r="L768" s="21" t="n">
        <f aca="false">G768*I768</f>
        <v>96</v>
      </c>
      <c r="M768" s="21" t="n">
        <f aca="false">K768-L768</f>
        <v>96</v>
      </c>
      <c r="N768" s="11" t="str">
        <f aca="false">TEXT(B768,"mmm")</f>
        <v>Jul</v>
      </c>
    </row>
    <row r="769" customFormat="false" ht="15" hidden="false" customHeight="false" outlineLevel="0" collapsed="false">
      <c r="A769" s="11" t="s">
        <v>830</v>
      </c>
      <c r="B769" s="20" t="n">
        <v>45866</v>
      </c>
      <c r="C769" s="11" t="s">
        <v>18</v>
      </c>
      <c r="D769" s="11" t="s">
        <v>35</v>
      </c>
      <c r="E769" s="11" t="s">
        <v>55</v>
      </c>
      <c r="F769" s="11" t="s">
        <v>45</v>
      </c>
      <c r="G769" s="11" t="n">
        <v>3</v>
      </c>
      <c r="H769" s="21" t="n">
        <v>150</v>
      </c>
      <c r="I769" s="21" t="n">
        <v>82</v>
      </c>
      <c r="J769" s="22" t="n">
        <v>0.15</v>
      </c>
      <c r="K769" s="21" t="n">
        <f aca="false">G769*H769*(1-J769)</f>
        <v>382.5</v>
      </c>
      <c r="L769" s="21" t="n">
        <f aca="false">G769*I769</f>
        <v>246</v>
      </c>
      <c r="M769" s="21" t="n">
        <f aca="false">K769-L769</f>
        <v>136.5</v>
      </c>
      <c r="N769" s="11" t="str">
        <f aca="false">TEXT(B769,"mmm")</f>
        <v>Jul</v>
      </c>
    </row>
    <row r="770" customFormat="false" ht="15" hidden="false" customHeight="false" outlineLevel="0" collapsed="false">
      <c r="A770" s="11" t="s">
        <v>831</v>
      </c>
      <c r="B770" s="20" t="n">
        <v>45866</v>
      </c>
      <c r="C770" s="11" t="s">
        <v>18</v>
      </c>
      <c r="D770" s="11" t="s">
        <v>37</v>
      </c>
      <c r="E770" s="11" t="s">
        <v>53</v>
      </c>
      <c r="F770" s="11" t="s">
        <v>42</v>
      </c>
      <c r="G770" s="11" t="n">
        <v>8</v>
      </c>
      <c r="H770" s="21" t="n">
        <v>9</v>
      </c>
      <c r="I770" s="21" t="n">
        <v>4.5</v>
      </c>
      <c r="J770" s="22" t="n">
        <v>0.05</v>
      </c>
      <c r="K770" s="21" t="n">
        <f aca="false">G770*H770*(1-J770)</f>
        <v>68.4</v>
      </c>
      <c r="L770" s="21" t="n">
        <f aca="false">G770*I770</f>
        <v>36</v>
      </c>
      <c r="M770" s="21" t="n">
        <f aca="false">K770-L770</f>
        <v>32.4</v>
      </c>
      <c r="N770" s="11" t="str">
        <f aca="false">TEXT(B770,"mmm")</f>
        <v>Jul</v>
      </c>
    </row>
    <row r="771" customFormat="false" ht="15" hidden="false" customHeight="false" outlineLevel="0" collapsed="false">
      <c r="A771" s="11" t="s">
        <v>832</v>
      </c>
      <c r="B771" s="20" t="n">
        <v>45866</v>
      </c>
      <c r="C771" s="11" t="s">
        <v>22</v>
      </c>
      <c r="D771" s="11" t="s">
        <v>37</v>
      </c>
      <c r="E771" s="11" t="s">
        <v>49</v>
      </c>
      <c r="F771" s="11" t="s">
        <v>44</v>
      </c>
      <c r="G771" s="11" t="n">
        <v>31</v>
      </c>
      <c r="H771" s="21" t="n">
        <v>28</v>
      </c>
      <c r="I771" s="21" t="n">
        <v>17</v>
      </c>
      <c r="J771" s="22" t="n">
        <v>0.1</v>
      </c>
      <c r="K771" s="21" t="n">
        <f aca="false">G771*H771*(1-J771)</f>
        <v>781.2</v>
      </c>
      <c r="L771" s="21" t="n">
        <f aca="false">G771*I771</f>
        <v>527</v>
      </c>
      <c r="M771" s="21" t="n">
        <f aca="false">K771-L771</f>
        <v>254.2</v>
      </c>
      <c r="N771" s="11" t="str">
        <f aca="false">TEXT(B771,"mmm")</f>
        <v>Jul</v>
      </c>
    </row>
    <row r="772" customFormat="false" ht="15" hidden="false" customHeight="false" outlineLevel="0" collapsed="false">
      <c r="A772" s="11" t="s">
        <v>833</v>
      </c>
      <c r="B772" s="20" t="n">
        <v>45866</v>
      </c>
      <c r="C772" s="11" t="s">
        <v>22</v>
      </c>
      <c r="D772" s="11" t="s">
        <v>35</v>
      </c>
      <c r="E772" s="11" t="s">
        <v>54</v>
      </c>
      <c r="F772" s="11" t="s">
        <v>44</v>
      </c>
      <c r="G772" s="11" t="n">
        <v>1</v>
      </c>
      <c r="H772" s="21" t="n">
        <v>320</v>
      </c>
      <c r="I772" s="21" t="n">
        <v>185</v>
      </c>
      <c r="J772" s="22" t="n">
        <v>0</v>
      </c>
      <c r="K772" s="21" t="n">
        <f aca="false">G772*H772*(1-J772)</f>
        <v>320</v>
      </c>
      <c r="L772" s="21" t="n">
        <f aca="false">G772*I772</f>
        <v>185</v>
      </c>
      <c r="M772" s="21" t="n">
        <f aca="false">K772-L772</f>
        <v>135</v>
      </c>
      <c r="N772" s="11" t="str">
        <f aca="false">TEXT(B772,"mmm")</f>
        <v>Jul</v>
      </c>
    </row>
    <row r="773" customFormat="false" ht="15" hidden="false" customHeight="false" outlineLevel="0" collapsed="false">
      <c r="A773" s="11" t="s">
        <v>834</v>
      </c>
      <c r="B773" s="20" t="n">
        <v>45866</v>
      </c>
      <c r="C773" s="11" t="s">
        <v>20</v>
      </c>
      <c r="D773" s="11" t="s">
        <v>37</v>
      </c>
      <c r="E773" s="11" t="s">
        <v>49</v>
      </c>
      <c r="F773" s="11" t="s">
        <v>42</v>
      </c>
      <c r="G773" s="11" t="n">
        <v>9</v>
      </c>
      <c r="H773" s="21" t="n">
        <v>28</v>
      </c>
      <c r="I773" s="21" t="n">
        <v>17</v>
      </c>
      <c r="J773" s="22" t="n">
        <v>0.05</v>
      </c>
      <c r="K773" s="21" t="n">
        <f aca="false">G773*H773*(1-J773)</f>
        <v>239.4</v>
      </c>
      <c r="L773" s="21" t="n">
        <f aca="false">G773*I773</f>
        <v>153</v>
      </c>
      <c r="M773" s="21" t="n">
        <f aca="false">K773-L773</f>
        <v>86.4</v>
      </c>
      <c r="N773" s="11" t="str">
        <f aca="false">TEXT(B773,"mmm")</f>
        <v>Jul</v>
      </c>
    </row>
    <row r="774" customFormat="false" ht="15" hidden="false" customHeight="false" outlineLevel="0" collapsed="false">
      <c r="A774" s="11" t="s">
        <v>835</v>
      </c>
      <c r="B774" s="20" t="n">
        <v>45870</v>
      </c>
      <c r="C774" s="11" t="s">
        <v>22</v>
      </c>
      <c r="D774" s="11" t="s">
        <v>33</v>
      </c>
      <c r="E774" s="11" t="s">
        <v>51</v>
      </c>
      <c r="F774" s="11" t="s">
        <v>44</v>
      </c>
      <c r="G774" s="11" t="n">
        <v>6</v>
      </c>
      <c r="H774" s="21" t="n">
        <v>90</v>
      </c>
      <c r="I774" s="21" t="n">
        <v>58</v>
      </c>
      <c r="J774" s="22" t="n">
        <v>0.1</v>
      </c>
      <c r="K774" s="21" t="n">
        <f aca="false">G774*H774*(1-J774)</f>
        <v>486</v>
      </c>
      <c r="L774" s="21" t="n">
        <f aca="false">G774*I774</f>
        <v>348</v>
      </c>
      <c r="M774" s="21" t="n">
        <f aca="false">K774-L774</f>
        <v>138</v>
      </c>
      <c r="N774" s="11" t="str">
        <f aca="false">TEXT(B774,"mmm")</f>
        <v>Aug</v>
      </c>
    </row>
    <row r="775" customFormat="false" ht="15" hidden="false" customHeight="false" outlineLevel="0" collapsed="false">
      <c r="A775" s="11" t="s">
        <v>836</v>
      </c>
      <c r="B775" s="20" t="n">
        <v>45870</v>
      </c>
      <c r="C775" s="11" t="s">
        <v>20</v>
      </c>
      <c r="D775" s="11" t="s">
        <v>33</v>
      </c>
      <c r="E775" s="11" t="s">
        <v>50</v>
      </c>
      <c r="F775" s="11" t="s">
        <v>42</v>
      </c>
      <c r="G775" s="11" t="n">
        <v>2</v>
      </c>
      <c r="H775" s="21" t="n">
        <v>780</v>
      </c>
      <c r="I775" s="21" t="n">
        <v>600</v>
      </c>
      <c r="J775" s="22" t="n">
        <v>0.1</v>
      </c>
      <c r="K775" s="21" t="n">
        <f aca="false">G775*H775*(1-J775)</f>
        <v>1404</v>
      </c>
      <c r="L775" s="21" t="n">
        <f aca="false">G775*I775</f>
        <v>1200</v>
      </c>
      <c r="M775" s="21" t="n">
        <f aca="false">K775-L775</f>
        <v>204</v>
      </c>
      <c r="N775" s="11" t="str">
        <f aca="false">TEXT(B775,"mmm")</f>
        <v>Aug</v>
      </c>
    </row>
    <row r="776" customFormat="false" ht="15" hidden="false" customHeight="false" outlineLevel="0" collapsed="false">
      <c r="A776" s="11" t="s">
        <v>837</v>
      </c>
      <c r="B776" s="20" t="n">
        <v>45870</v>
      </c>
      <c r="C776" s="11" t="s">
        <v>22</v>
      </c>
      <c r="D776" s="11" t="s">
        <v>33</v>
      </c>
      <c r="E776" s="11" t="s">
        <v>51</v>
      </c>
      <c r="F776" s="11" t="s">
        <v>44</v>
      </c>
      <c r="G776" s="11" t="n">
        <v>4</v>
      </c>
      <c r="H776" s="21" t="n">
        <v>90</v>
      </c>
      <c r="I776" s="21" t="n">
        <v>58</v>
      </c>
      <c r="J776" s="22" t="n">
        <v>0</v>
      </c>
      <c r="K776" s="21" t="n">
        <f aca="false">G776*H776*(1-J776)</f>
        <v>360</v>
      </c>
      <c r="L776" s="21" t="n">
        <f aca="false">G776*I776</f>
        <v>232</v>
      </c>
      <c r="M776" s="21" t="n">
        <f aca="false">K776-L776</f>
        <v>128</v>
      </c>
      <c r="N776" s="11" t="str">
        <f aca="false">TEXT(B776,"mmm")</f>
        <v>Aug</v>
      </c>
    </row>
    <row r="777" customFormat="false" ht="15" hidden="false" customHeight="false" outlineLevel="0" collapsed="false">
      <c r="A777" s="11" t="s">
        <v>838</v>
      </c>
      <c r="B777" s="20" t="n">
        <v>45870</v>
      </c>
      <c r="C777" s="11" t="s">
        <v>24</v>
      </c>
      <c r="D777" s="11" t="s">
        <v>33</v>
      </c>
      <c r="E777" s="11" t="s">
        <v>51</v>
      </c>
      <c r="F777" s="11" t="s">
        <v>45</v>
      </c>
      <c r="G777" s="11" t="n">
        <v>3</v>
      </c>
      <c r="H777" s="21" t="n">
        <v>90</v>
      </c>
      <c r="I777" s="21" t="n">
        <v>58</v>
      </c>
      <c r="J777" s="22" t="n">
        <v>0.1</v>
      </c>
      <c r="K777" s="21" t="n">
        <f aca="false">G777*H777*(1-J777)</f>
        <v>243</v>
      </c>
      <c r="L777" s="21" t="n">
        <f aca="false">G777*I777</f>
        <v>174</v>
      </c>
      <c r="M777" s="21" t="n">
        <f aca="false">K777-L777</f>
        <v>69</v>
      </c>
      <c r="N777" s="11" t="str">
        <f aca="false">TEXT(B777,"mmm")</f>
        <v>Aug</v>
      </c>
    </row>
    <row r="778" customFormat="false" ht="15" hidden="false" customHeight="false" outlineLevel="0" collapsed="false">
      <c r="A778" s="11" t="s">
        <v>839</v>
      </c>
      <c r="B778" s="20" t="n">
        <v>45871</v>
      </c>
      <c r="C778" s="11" t="s">
        <v>20</v>
      </c>
      <c r="D778" s="11" t="s">
        <v>35</v>
      </c>
      <c r="E778" s="11" t="s">
        <v>55</v>
      </c>
      <c r="F778" s="11" t="s">
        <v>44</v>
      </c>
      <c r="G778" s="11" t="n">
        <v>3</v>
      </c>
      <c r="H778" s="21" t="n">
        <v>150</v>
      </c>
      <c r="I778" s="21" t="n">
        <v>82</v>
      </c>
      <c r="J778" s="22" t="n">
        <v>0.05</v>
      </c>
      <c r="K778" s="21" t="n">
        <f aca="false">G778*H778*(1-J778)</f>
        <v>427.5</v>
      </c>
      <c r="L778" s="21" t="n">
        <f aca="false">G778*I778</f>
        <v>246</v>
      </c>
      <c r="M778" s="21" t="n">
        <f aca="false">K778-L778</f>
        <v>181.5</v>
      </c>
      <c r="N778" s="11" t="str">
        <f aca="false">TEXT(B778,"mmm")</f>
        <v>Aug</v>
      </c>
    </row>
    <row r="779" customFormat="false" ht="15" hidden="false" customHeight="false" outlineLevel="0" collapsed="false">
      <c r="A779" s="11" t="s">
        <v>840</v>
      </c>
      <c r="B779" s="20" t="n">
        <v>45871</v>
      </c>
      <c r="C779" s="11" t="s">
        <v>24</v>
      </c>
      <c r="D779" s="11" t="s">
        <v>35</v>
      </c>
      <c r="E779" s="11" t="s">
        <v>56</v>
      </c>
      <c r="F779" s="11" t="s">
        <v>42</v>
      </c>
      <c r="G779" s="11" t="n">
        <v>3</v>
      </c>
      <c r="H779" s="21" t="n">
        <v>110</v>
      </c>
      <c r="I779" s="21" t="n">
        <v>62</v>
      </c>
      <c r="J779" s="22" t="n">
        <v>0.1</v>
      </c>
      <c r="K779" s="21" t="n">
        <f aca="false">G779*H779*(1-J779)</f>
        <v>297</v>
      </c>
      <c r="L779" s="21" t="n">
        <f aca="false">G779*I779</f>
        <v>186</v>
      </c>
      <c r="M779" s="21" t="n">
        <f aca="false">K779-L779</f>
        <v>111</v>
      </c>
      <c r="N779" s="11" t="str">
        <f aca="false">TEXT(B779,"mmm")</f>
        <v>Aug</v>
      </c>
    </row>
    <row r="780" customFormat="false" ht="15" hidden="false" customHeight="false" outlineLevel="0" collapsed="false">
      <c r="A780" s="11" t="s">
        <v>841</v>
      </c>
      <c r="B780" s="20" t="n">
        <v>45871</v>
      </c>
      <c r="C780" s="11" t="s">
        <v>24</v>
      </c>
      <c r="D780" s="11" t="s">
        <v>37</v>
      </c>
      <c r="E780" s="11" t="s">
        <v>52</v>
      </c>
      <c r="F780" s="11" t="s">
        <v>44</v>
      </c>
      <c r="G780" s="11" t="n">
        <v>8</v>
      </c>
      <c r="H780" s="21" t="n">
        <v>12</v>
      </c>
      <c r="I780" s="21" t="n">
        <v>6</v>
      </c>
      <c r="J780" s="22" t="n">
        <v>0.05</v>
      </c>
      <c r="K780" s="21" t="n">
        <f aca="false">G780*H780*(1-J780)</f>
        <v>91.2</v>
      </c>
      <c r="L780" s="21" t="n">
        <f aca="false">G780*I780</f>
        <v>48</v>
      </c>
      <c r="M780" s="21" t="n">
        <f aca="false">K780-L780</f>
        <v>43.2</v>
      </c>
      <c r="N780" s="11" t="str">
        <f aca="false">TEXT(B780,"mmm")</f>
        <v>Aug</v>
      </c>
    </row>
    <row r="781" customFormat="false" ht="15" hidden="false" customHeight="false" outlineLevel="0" collapsed="false">
      <c r="A781" s="11" t="s">
        <v>842</v>
      </c>
      <c r="B781" s="20" t="n">
        <v>45871</v>
      </c>
      <c r="C781" s="11" t="s">
        <v>20</v>
      </c>
      <c r="D781" s="11" t="s">
        <v>33</v>
      </c>
      <c r="E781" s="11" t="s">
        <v>48</v>
      </c>
      <c r="F781" s="11" t="s">
        <v>42</v>
      </c>
      <c r="G781" s="11" t="n">
        <v>2</v>
      </c>
      <c r="H781" s="21" t="n">
        <v>520</v>
      </c>
      <c r="I781" s="21" t="n">
        <v>415</v>
      </c>
      <c r="J781" s="22" t="n">
        <v>0.1</v>
      </c>
      <c r="K781" s="21" t="n">
        <f aca="false">G781*H781*(1-J781)</f>
        <v>936</v>
      </c>
      <c r="L781" s="21" t="n">
        <f aca="false">G781*I781</f>
        <v>830</v>
      </c>
      <c r="M781" s="21" t="n">
        <f aca="false">K781-L781</f>
        <v>106</v>
      </c>
      <c r="N781" s="11" t="str">
        <f aca="false">TEXT(B781,"mmm")</f>
        <v>Aug</v>
      </c>
    </row>
    <row r="782" customFormat="false" ht="15" hidden="false" customHeight="false" outlineLevel="0" collapsed="false">
      <c r="A782" s="11" t="s">
        <v>843</v>
      </c>
      <c r="B782" s="20" t="n">
        <v>45871</v>
      </c>
      <c r="C782" s="11" t="s">
        <v>20</v>
      </c>
      <c r="D782" s="11" t="s">
        <v>37</v>
      </c>
      <c r="E782" s="11" t="s">
        <v>53</v>
      </c>
      <c r="F782" s="11" t="s">
        <v>42</v>
      </c>
      <c r="G782" s="11" t="n">
        <v>39</v>
      </c>
      <c r="H782" s="21" t="n">
        <v>9</v>
      </c>
      <c r="I782" s="21" t="n">
        <v>4.5</v>
      </c>
      <c r="J782" s="22" t="n">
        <v>0.15</v>
      </c>
      <c r="K782" s="21" t="n">
        <f aca="false">G782*H782*(1-J782)</f>
        <v>298.35</v>
      </c>
      <c r="L782" s="21" t="n">
        <f aca="false">G782*I782</f>
        <v>175.5</v>
      </c>
      <c r="M782" s="21" t="n">
        <f aca="false">K782-L782</f>
        <v>122.85</v>
      </c>
      <c r="N782" s="11" t="str">
        <f aca="false">TEXT(B782,"mmm")</f>
        <v>Aug</v>
      </c>
    </row>
    <row r="783" customFormat="false" ht="15" hidden="false" customHeight="false" outlineLevel="0" collapsed="false">
      <c r="A783" s="11" t="s">
        <v>844</v>
      </c>
      <c r="B783" s="20" t="n">
        <v>45871</v>
      </c>
      <c r="C783" s="11" t="s">
        <v>20</v>
      </c>
      <c r="D783" s="11" t="s">
        <v>35</v>
      </c>
      <c r="E783" s="11" t="s">
        <v>54</v>
      </c>
      <c r="F783" s="11" t="s">
        <v>44</v>
      </c>
      <c r="G783" s="11" t="n">
        <v>2</v>
      </c>
      <c r="H783" s="21" t="n">
        <v>320</v>
      </c>
      <c r="I783" s="21" t="n">
        <v>185</v>
      </c>
      <c r="J783" s="22" t="n">
        <v>0.05</v>
      </c>
      <c r="K783" s="21" t="n">
        <f aca="false">G783*H783*(1-J783)</f>
        <v>608</v>
      </c>
      <c r="L783" s="21" t="n">
        <f aca="false">G783*I783</f>
        <v>370</v>
      </c>
      <c r="M783" s="21" t="n">
        <f aca="false">K783-L783</f>
        <v>238</v>
      </c>
      <c r="N783" s="11" t="str">
        <f aca="false">TEXT(B783,"mmm")</f>
        <v>Aug</v>
      </c>
    </row>
    <row r="784" customFormat="false" ht="15" hidden="false" customHeight="false" outlineLevel="0" collapsed="false">
      <c r="A784" s="11" t="s">
        <v>845</v>
      </c>
      <c r="B784" s="20" t="n">
        <v>45872</v>
      </c>
      <c r="C784" s="11" t="s">
        <v>22</v>
      </c>
      <c r="D784" s="11" t="s">
        <v>33</v>
      </c>
      <c r="E784" s="11" t="s">
        <v>51</v>
      </c>
      <c r="F784" s="11" t="s">
        <v>42</v>
      </c>
      <c r="G784" s="11" t="n">
        <v>2</v>
      </c>
      <c r="H784" s="21" t="n">
        <v>90</v>
      </c>
      <c r="I784" s="21" t="n">
        <v>58</v>
      </c>
      <c r="J784" s="22" t="n">
        <v>0.05</v>
      </c>
      <c r="K784" s="21" t="n">
        <f aca="false">G784*H784*(1-J784)</f>
        <v>171</v>
      </c>
      <c r="L784" s="21" t="n">
        <f aca="false">G784*I784</f>
        <v>116</v>
      </c>
      <c r="M784" s="21" t="n">
        <f aca="false">K784-L784</f>
        <v>55</v>
      </c>
      <c r="N784" s="11" t="str">
        <f aca="false">TEXT(B784,"mmm")</f>
        <v>Aug</v>
      </c>
    </row>
    <row r="785" customFormat="false" ht="15" hidden="false" customHeight="false" outlineLevel="0" collapsed="false">
      <c r="A785" s="11" t="s">
        <v>846</v>
      </c>
      <c r="B785" s="20" t="n">
        <v>45872</v>
      </c>
      <c r="C785" s="11" t="s">
        <v>20</v>
      </c>
      <c r="D785" s="11" t="s">
        <v>37</v>
      </c>
      <c r="E785" s="11" t="s">
        <v>53</v>
      </c>
      <c r="F785" s="11" t="s">
        <v>44</v>
      </c>
      <c r="G785" s="11" t="n">
        <v>23</v>
      </c>
      <c r="H785" s="21" t="n">
        <v>9</v>
      </c>
      <c r="I785" s="21" t="n">
        <v>4.5</v>
      </c>
      <c r="J785" s="22" t="n">
        <v>0</v>
      </c>
      <c r="K785" s="21" t="n">
        <f aca="false">G785*H785*(1-J785)</f>
        <v>207</v>
      </c>
      <c r="L785" s="21" t="n">
        <f aca="false">G785*I785</f>
        <v>103.5</v>
      </c>
      <c r="M785" s="21" t="n">
        <f aca="false">K785-L785</f>
        <v>103.5</v>
      </c>
      <c r="N785" s="11" t="str">
        <f aca="false">TEXT(B785,"mmm")</f>
        <v>Aug</v>
      </c>
    </row>
    <row r="786" customFormat="false" ht="15" hidden="false" customHeight="false" outlineLevel="0" collapsed="false">
      <c r="A786" s="11" t="s">
        <v>847</v>
      </c>
      <c r="B786" s="20" t="n">
        <v>45872</v>
      </c>
      <c r="C786" s="11" t="s">
        <v>18</v>
      </c>
      <c r="D786" s="11" t="s">
        <v>33</v>
      </c>
      <c r="E786" s="11" t="s">
        <v>48</v>
      </c>
      <c r="F786" s="11" t="s">
        <v>44</v>
      </c>
      <c r="G786" s="11" t="n">
        <v>4</v>
      </c>
      <c r="H786" s="21" t="n">
        <v>520</v>
      </c>
      <c r="I786" s="21" t="n">
        <v>415</v>
      </c>
      <c r="J786" s="22" t="n">
        <v>0</v>
      </c>
      <c r="K786" s="21" t="n">
        <f aca="false">G786*H786*(1-J786)</f>
        <v>2080</v>
      </c>
      <c r="L786" s="21" t="n">
        <f aca="false">G786*I786</f>
        <v>1660</v>
      </c>
      <c r="M786" s="21" t="n">
        <f aca="false">K786-L786</f>
        <v>420</v>
      </c>
      <c r="N786" s="11" t="str">
        <f aca="false">TEXT(B786,"mmm")</f>
        <v>Aug</v>
      </c>
    </row>
    <row r="787" customFormat="false" ht="15" hidden="false" customHeight="false" outlineLevel="0" collapsed="false">
      <c r="A787" s="11" t="s">
        <v>848</v>
      </c>
      <c r="B787" s="20" t="n">
        <v>45872</v>
      </c>
      <c r="C787" s="11" t="s">
        <v>20</v>
      </c>
      <c r="D787" s="11" t="s">
        <v>35</v>
      </c>
      <c r="E787" s="11" t="s">
        <v>54</v>
      </c>
      <c r="F787" s="11" t="s">
        <v>42</v>
      </c>
      <c r="G787" s="11" t="n">
        <v>2</v>
      </c>
      <c r="H787" s="21" t="n">
        <v>320</v>
      </c>
      <c r="I787" s="21" t="n">
        <v>185</v>
      </c>
      <c r="J787" s="22" t="n">
        <v>0</v>
      </c>
      <c r="K787" s="21" t="n">
        <f aca="false">G787*H787*(1-J787)</f>
        <v>640</v>
      </c>
      <c r="L787" s="21" t="n">
        <f aca="false">G787*I787</f>
        <v>370</v>
      </c>
      <c r="M787" s="21" t="n">
        <f aca="false">K787-L787</f>
        <v>270</v>
      </c>
      <c r="N787" s="11" t="str">
        <f aca="false">TEXT(B787,"mmm")</f>
        <v>Aug</v>
      </c>
    </row>
    <row r="788" customFormat="false" ht="15" hidden="false" customHeight="false" outlineLevel="0" collapsed="false">
      <c r="A788" s="11" t="s">
        <v>849</v>
      </c>
      <c r="B788" s="20" t="n">
        <v>45872</v>
      </c>
      <c r="C788" s="11" t="s">
        <v>18</v>
      </c>
      <c r="D788" s="11" t="s">
        <v>37</v>
      </c>
      <c r="E788" s="11" t="s">
        <v>53</v>
      </c>
      <c r="F788" s="11" t="s">
        <v>42</v>
      </c>
      <c r="G788" s="11" t="n">
        <v>13</v>
      </c>
      <c r="H788" s="21" t="n">
        <v>9</v>
      </c>
      <c r="I788" s="21" t="n">
        <v>4.5</v>
      </c>
      <c r="J788" s="22" t="n">
        <v>0.05</v>
      </c>
      <c r="K788" s="21" t="n">
        <f aca="false">G788*H788*(1-J788)</f>
        <v>111.15</v>
      </c>
      <c r="L788" s="21" t="n">
        <f aca="false">G788*I788</f>
        <v>58.5</v>
      </c>
      <c r="M788" s="21" t="n">
        <f aca="false">K788-L788</f>
        <v>52.65</v>
      </c>
      <c r="N788" s="11" t="str">
        <f aca="false">TEXT(B788,"mmm")</f>
        <v>Aug</v>
      </c>
    </row>
    <row r="789" customFormat="false" ht="15" hidden="false" customHeight="false" outlineLevel="0" collapsed="false">
      <c r="A789" s="11" t="s">
        <v>850</v>
      </c>
      <c r="B789" s="20" t="n">
        <v>45873</v>
      </c>
      <c r="C789" s="11" t="s">
        <v>18</v>
      </c>
      <c r="D789" s="11" t="s">
        <v>33</v>
      </c>
      <c r="E789" s="11" t="s">
        <v>50</v>
      </c>
      <c r="F789" s="11" t="s">
        <v>42</v>
      </c>
      <c r="G789" s="11" t="n">
        <v>3</v>
      </c>
      <c r="H789" s="21" t="n">
        <v>780</v>
      </c>
      <c r="I789" s="21" t="n">
        <v>600</v>
      </c>
      <c r="J789" s="22" t="n">
        <v>0</v>
      </c>
      <c r="K789" s="21" t="n">
        <f aca="false">G789*H789*(1-J789)</f>
        <v>2340</v>
      </c>
      <c r="L789" s="21" t="n">
        <f aca="false">G789*I789</f>
        <v>1800</v>
      </c>
      <c r="M789" s="21" t="n">
        <f aca="false">K789-L789</f>
        <v>540</v>
      </c>
      <c r="N789" s="11" t="str">
        <f aca="false">TEXT(B789,"mmm")</f>
        <v>Aug</v>
      </c>
    </row>
    <row r="790" customFormat="false" ht="15" hidden="false" customHeight="false" outlineLevel="0" collapsed="false">
      <c r="A790" s="11" t="s">
        <v>851</v>
      </c>
      <c r="B790" s="20" t="n">
        <v>45873</v>
      </c>
      <c r="C790" s="11" t="s">
        <v>18</v>
      </c>
      <c r="D790" s="11" t="s">
        <v>37</v>
      </c>
      <c r="E790" s="11" t="s">
        <v>49</v>
      </c>
      <c r="F790" s="11" t="s">
        <v>45</v>
      </c>
      <c r="G790" s="11" t="n">
        <v>3</v>
      </c>
      <c r="H790" s="21" t="n">
        <v>28</v>
      </c>
      <c r="I790" s="21" t="n">
        <v>17</v>
      </c>
      <c r="J790" s="22" t="n">
        <v>0.15</v>
      </c>
      <c r="K790" s="21" t="n">
        <f aca="false">G790*H790*(1-J790)</f>
        <v>71.4</v>
      </c>
      <c r="L790" s="21" t="n">
        <f aca="false">G790*I790</f>
        <v>51</v>
      </c>
      <c r="M790" s="21" t="n">
        <f aca="false">K790-L790</f>
        <v>20.4</v>
      </c>
      <c r="N790" s="11" t="str">
        <f aca="false">TEXT(B790,"mmm")</f>
        <v>Aug</v>
      </c>
    </row>
    <row r="791" customFormat="false" ht="15" hidden="false" customHeight="false" outlineLevel="0" collapsed="false">
      <c r="A791" s="11" t="s">
        <v>852</v>
      </c>
      <c r="B791" s="20" t="n">
        <v>45873</v>
      </c>
      <c r="C791" s="11" t="s">
        <v>18</v>
      </c>
      <c r="D791" s="11" t="s">
        <v>35</v>
      </c>
      <c r="E791" s="11" t="s">
        <v>55</v>
      </c>
      <c r="F791" s="11" t="s">
        <v>42</v>
      </c>
      <c r="G791" s="11" t="n">
        <v>2</v>
      </c>
      <c r="H791" s="21" t="n">
        <v>150</v>
      </c>
      <c r="I791" s="21" t="n">
        <v>82</v>
      </c>
      <c r="J791" s="22" t="n">
        <v>0.15</v>
      </c>
      <c r="K791" s="21" t="n">
        <f aca="false">G791*H791*(1-J791)</f>
        <v>255</v>
      </c>
      <c r="L791" s="21" t="n">
        <f aca="false">G791*I791</f>
        <v>164</v>
      </c>
      <c r="M791" s="21" t="n">
        <f aca="false">K791-L791</f>
        <v>91</v>
      </c>
      <c r="N791" s="11" t="str">
        <f aca="false">TEXT(B791,"mmm")</f>
        <v>Aug</v>
      </c>
    </row>
    <row r="792" customFormat="false" ht="15" hidden="false" customHeight="false" outlineLevel="0" collapsed="false">
      <c r="A792" s="11" t="s">
        <v>853</v>
      </c>
      <c r="B792" s="20" t="n">
        <v>45874</v>
      </c>
      <c r="C792" s="11" t="s">
        <v>22</v>
      </c>
      <c r="D792" s="11" t="s">
        <v>37</v>
      </c>
      <c r="E792" s="11" t="s">
        <v>53</v>
      </c>
      <c r="F792" s="11" t="s">
        <v>44</v>
      </c>
      <c r="G792" s="11" t="n">
        <v>19</v>
      </c>
      <c r="H792" s="21" t="n">
        <v>9</v>
      </c>
      <c r="I792" s="21" t="n">
        <v>4.5</v>
      </c>
      <c r="J792" s="22" t="n">
        <v>0.1</v>
      </c>
      <c r="K792" s="21" t="n">
        <f aca="false">G792*H792*(1-J792)</f>
        <v>153.9</v>
      </c>
      <c r="L792" s="21" t="n">
        <f aca="false">G792*I792</f>
        <v>85.5</v>
      </c>
      <c r="M792" s="21" t="n">
        <f aca="false">K792-L792</f>
        <v>68.4</v>
      </c>
      <c r="N792" s="11" t="str">
        <f aca="false">TEXT(B792,"mmm")</f>
        <v>Aug</v>
      </c>
    </row>
    <row r="793" customFormat="false" ht="15" hidden="false" customHeight="false" outlineLevel="0" collapsed="false">
      <c r="A793" s="11" t="s">
        <v>854</v>
      </c>
      <c r="B793" s="20" t="n">
        <v>45874</v>
      </c>
      <c r="C793" s="11" t="s">
        <v>22</v>
      </c>
      <c r="D793" s="11" t="s">
        <v>33</v>
      </c>
      <c r="E793" s="11" t="s">
        <v>51</v>
      </c>
      <c r="F793" s="11" t="s">
        <v>42</v>
      </c>
      <c r="G793" s="11" t="n">
        <v>4</v>
      </c>
      <c r="H793" s="21" t="n">
        <v>90</v>
      </c>
      <c r="I793" s="21" t="n">
        <v>58</v>
      </c>
      <c r="J793" s="22" t="n">
        <v>0</v>
      </c>
      <c r="K793" s="21" t="n">
        <f aca="false">G793*H793*(1-J793)</f>
        <v>360</v>
      </c>
      <c r="L793" s="21" t="n">
        <f aca="false">G793*I793</f>
        <v>232</v>
      </c>
      <c r="M793" s="21" t="n">
        <f aca="false">K793-L793</f>
        <v>128</v>
      </c>
      <c r="N793" s="11" t="str">
        <f aca="false">TEXT(B793,"mmm")</f>
        <v>Aug</v>
      </c>
    </row>
    <row r="794" customFormat="false" ht="15" hidden="false" customHeight="false" outlineLevel="0" collapsed="false">
      <c r="A794" s="11" t="s">
        <v>855</v>
      </c>
      <c r="B794" s="20" t="n">
        <v>45874</v>
      </c>
      <c r="C794" s="11" t="s">
        <v>18</v>
      </c>
      <c r="D794" s="11" t="s">
        <v>37</v>
      </c>
      <c r="E794" s="11" t="s">
        <v>53</v>
      </c>
      <c r="F794" s="11" t="s">
        <v>42</v>
      </c>
      <c r="G794" s="11" t="n">
        <v>32</v>
      </c>
      <c r="H794" s="21" t="n">
        <v>9</v>
      </c>
      <c r="I794" s="21" t="n">
        <v>4.5</v>
      </c>
      <c r="J794" s="22" t="n">
        <v>0.15</v>
      </c>
      <c r="K794" s="21" t="n">
        <f aca="false">G794*H794*(1-J794)</f>
        <v>244.8</v>
      </c>
      <c r="L794" s="21" t="n">
        <f aca="false">G794*I794</f>
        <v>144</v>
      </c>
      <c r="M794" s="21" t="n">
        <f aca="false">K794-L794</f>
        <v>100.8</v>
      </c>
      <c r="N794" s="11" t="str">
        <f aca="false">TEXT(B794,"mmm")</f>
        <v>Aug</v>
      </c>
    </row>
    <row r="795" customFormat="false" ht="15" hidden="false" customHeight="false" outlineLevel="0" collapsed="false">
      <c r="A795" s="11" t="s">
        <v>856</v>
      </c>
      <c r="B795" s="20" t="n">
        <v>45876</v>
      </c>
      <c r="C795" s="11" t="s">
        <v>20</v>
      </c>
      <c r="D795" s="11" t="s">
        <v>35</v>
      </c>
      <c r="E795" s="11" t="s">
        <v>55</v>
      </c>
      <c r="F795" s="11" t="s">
        <v>42</v>
      </c>
      <c r="G795" s="11" t="n">
        <v>1</v>
      </c>
      <c r="H795" s="21" t="n">
        <v>150</v>
      </c>
      <c r="I795" s="21" t="n">
        <v>82</v>
      </c>
      <c r="J795" s="22" t="n">
        <v>0.1</v>
      </c>
      <c r="K795" s="21" t="n">
        <f aca="false">G795*H795*(1-J795)</f>
        <v>135</v>
      </c>
      <c r="L795" s="21" t="n">
        <f aca="false">G795*I795</f>
        <v>82</v>
      </c>
      <c r="M795" s="21" t="n">
        <f aca="false">K795-L795</f>
        <v>53</v>
      </c>
      <c r="N795" s="11" t="str">
        <f aca="false">TEXT(B795,"mmm")</f>
        <v>Aug</v>
      </c>
    </row>
    <row r="796" customFormat="false" ht="15" hidden="false" customHeight="false" outlineLevel="0" collapsed="false">
      <c r="A796" s="11" t="s">
        <v>857</v>
      </c>
      <c r="B796" s="20" t="n">
        <v>45876</v>
      </c>
      <c r="C796" s="11" t="s">
        <v>18</v>
      </c>
      <c r="D796" s="11" t="s">
        <v>35</v>
      </c>
      <c r="E796" s="11" t="s">
        <v>56</v>
      </c>
      <c r="F796" s="11" t="s">
        <v>44</v>
      </c>
      <c r="G796" s="11" t="n">
        <v>2</v>
      </c>
      <c r="H796" s="21" t="n">
        <v>110</v>
      </c>
      <c r="I796" s="21" t="n">
        <v>62</v>
      </c>
      <c r="J796" s="22" t="n">
        <v>0.05</v>
      </c>
      <c r="K796" s="21" t="n">
        <f aca="false">G796*H796*(1-J796)</f>
        <v>209</v>
      </c>
      <c r="L796" s="21" t="n">
        <f aca="false">G796*I796</f>
        <v>124</v>
      </c>
      <c r="M796" s="21" t="n">
        <f aca="false">K796-L796</f>
        <v>85</v>
      </c>
      <c r="N796" s="11" t="str">
        <f aca="false">TEXT(B796,"mmm")</f>
        <v>Aug</v>
      </c>
    </row>
    <row r="797" customFormat="false" ht="15" hidden="false" customHeight="false" outlineLevel="0" collapsed="false">
      <c r="A797" s="11" t="s">
        <v>858</v>
      </c>
      <c r="B797" s="20" t="n">
        <v>45876</v>
      </c>
      <c r="C797" s="11" t="s">
        <v>18</v>
      </c>
      <c r="D797" s="11" t="s">
        <v>35</v>
      </c>
      <c r="E797" s="11" t="s">
        <v>56</v>
      </c>
      <c r="F797" s="11" t="s">
        <v>44</v>
      </c>
      <c r="G797" s="11" t="n">
        <v>2</v>
      </c>
      <c r="H797" s="21" t="n">
        <v>110</v>
      </c>
      <c r="I797" s="21" t="n">
        <v>62</v>
      </c>
      <c r="J797" s="22" t="n">
        <v>0.05</v>
      </c>
      <c r="K797" s="21" t="n">
        <f aca="false">G797*H797*(1-J797)</f>
        <v>209</v>
      </c>
      <c r="L797" s="21" t="n">
        <f aca="false">G797*I797</f>
        <v>124</v>
      </c>
      <c r="M797" s="21" t="n">
        <f aca="false">K797-L797</f>
        <v>85</v>
      </c>
      <c r="N797" s="11" t="str">
        <f aca="false">TEXT(B797,"mmm")</f>
        <v>Aug</v>
      </c>
    </row>
    <row r="798" customFormat="false" ht="15" hidden="false" customHeight="false" outlineLevel="0" collapsed="false">
      <c r="A798" s="11" t="s">
        <v>859</v>
      </c>
      <c r="B798" s="20" t="n">
        <v>45876</v>
      </c>
      <c r="C798" s="11" t="s">
        <v>20</v>
      </c>
      <c r="D798" s="11" t="s">
        <v>37</v>
      </c>
      <c r="E798" s="11" t="s">
        <v>53</v>
      </c>
      <c r="F798" s="11" t="s">
        <v>44</v>
      </c>
      <c r="G798" s="11" t="n">
        <v>21</v>
      </c>
      <c r="H798" s="21" t="n">
        <v>9</v>
      </c>
      <c r="I798" s="21" t="n">
        <v>4.5</v>
      </c>
      <c r="J798" s="22" t="n">
        <v>0.05</v>
      </c>
      <c r="K798" s="21" t="n">
        <f aca="false">G798*H798*(1-J798)</f>
        <v>179.55</v>
      </c>
      <c r="L798" s="21" t="n">
        <f aca="false">G798*I798</f>
        <v>94.5</v>
      </c>
      <c r="M798" s="21" t="n">
        <f aca="false">K798-L798</f>
        <v>85.05</v>
      </c>
      <c r="N798" s="11" t="str">
        <f aca="false">TEXT(B798,"mmm")</f>
        <v>Aug</v>
      </c>
    </row>
    <row r="799" customFormat="false" ht="15" hidden="false" customHeight="false" outlineLevel="0" collapsed="false">
      <c r="A799" s="11" t="s">
        <v>860</v>
      </c>
      <c r="B799" s="20" t="n">
        <v>45876</v>
      </c>
      <c r="C799" s="11" t="s">
        <v>18</v>
      </c>
      <c r="D799" s="11" t="s">
        <v>35</v>
      </c>
      <c r="E799" s="11" t="s">
        <v>56</v>
      </c>
      <c r="F799" s="11" t="s">
        <v>44</v>
      </c>
      <c r="G799" s="11" t="n">
        <v>2</v>
      </c>
      <c r="H799" s="21" t="n">
        <v>110</v>
      </c>
      <c r="I799" s="21" t="n">
        <v>62</v>
      </c>
      <c r="J799" s="22" t="n">
        <v>0</v>
      </c>
      <c r="K799" s="21" t="n">
        <f aca="false">G799*H799*(1-J799)</f>
        <v>220</v>
      </c>
      <c r="L799" s="21" t="n">
        <f aca="false">G799*I799</f>
        <v>124</v>
      </c>
      <c r="M799" s="21" t="n">
        <f aca="false">K799-L799</f>
        <v>96</v>
      </c>
      <c r="N799" s="11" t="str">
        <f aca="false">TEXT(B799,"mmm")</f>
        <v>Aug</v>
      </c>
    </row>
    <row r="800" customFormat="false" ht="15" hidden="false" customHeight="false" outlineLevel="0" collapsed="false">
      <c r="A800" s="11" t="s">
        <v>861</v>
      </c>
      <c r="B800" s="20" t="n">
        <v>45877</v>
      </c>
      <c r="C800" s="11" t="s">
        <v>18</v>
      </c>
      <c r="D800" s="11" t="s">
        <v>33</v>
      </c>
      <c r="E800" s="11" t="s">
        <v>51</v>
      </c>
      <c r="F800" s="11" t="s">
        <v>44</v>
      </c>
      <c r="G800" s="11" t="n">
        <v>3</v>
      </c>
      <c r="H800" s="21" t="n">
        <v>90</v>
      </c>
      <c r="I800" s="21" t="n">
        <v>58</v>
      </c>
      <c r="J800" s="22" t="n">
        <v>0</v>
      </c>
      <c r="K800" s="21" t="n">
        <f aca="false">G800*H800*(1-J800)</f>
        <v>270</v>
      </c>
      <c r="L800" s="21" t="n">
        <f aca="false">G800*I800</f>
        <v>174</v>
      </c>
      <c r="M800" s="21" t="n">
        <f aca="false">K800-L800</f>
        <v>96</v>
      </c>
      <c r="N800" s="11" t="str">
        <f aca="false">TEXT(B800,"mmm")</f>
        <v>Aug</v>
      </c>
    </row>
    <row r="801" customFormat="false" ht="15" hidden="false" customHeight="false" outlineLevel="0" collapsed="false">
      <c r="A801" s="11" t="s">
        <v>862</v>
      </c>
      <c r="B801" s="20" t="n">
        <v>45877</v>
      </c>
      <c r="C801" s="11" t="s">
        <v>22</v>
      </c>
      <c r="D801" s="11" t="s">
        <v>37</v>
      </c>
      <c r="E801" s="11" t="s">
        <v>49</v>
      </c>
      <c r="F801" s="11" t="s">
        <v>44</v>
      </c>
      <c r="G801" s="11" t="n">
        <v>28</v>
      </c>
      <c r="H801" s="21" t="n">
        <v>28</v>
      </c>
      <c r="I801" s="21" t="n">
        <v>17</v>
      </c>
      <c r="J801" s="22" t="n">
        <v>0</v>
      </c>
      <c r="K801" s="21" t="n">
        <f aca="false">G801*H801*(1-J801)</f>
        <v>784</v>
      </c>
      <c r="L801" s="21" t="n">
        <f aca="false">G801*I801</f>
        <v>476</v>
      </c>
      <c r="M801" s="21" t="n">
        <f aca="false">K801-L801</f>
        <v>308</v>
      </c>
      <c r="N801" s="11" t="str">
        <f aca="false">TEXT(B801,"mmm")</f>
        <v>Aug</v>
      </c>
    </row>
    <row r="802" customFormat="false" ht="15" hidden="false" customHeight="false" outlineLevel="0" collapsed="false">
      <c r="A802" s="11" t="s">
        <v>863</v>
      </c>
      <c r="B802" s="20" t="n">
        <v>45878</v>
      </c>
      <c r="C802" s="11" t="s">
        <v>22</v>
      </c>
      <c r="D802" s="11" t="s">
        <v>33</v>
      </c>
      <c r="E802" s="11" t="s">
        <v>48</v>
      </c>
      <c r="F802" s="11" t="s">
        <v>42</v>
      </c>
      <c r="G802" s="11" t="n">
        <v>1</v>
      </c>
      <c r="H802" s="21" t="n">
        <v>520</v>
      </c>
      <c r="I802" s="21" t="n">
        <v>415</v>
      </c>
      <c r="J802" s="22" t="n">
        <v>0.05</v>
      </c>
      <c r="K802" s="21" t="n">
        <f aca="false">G802*H802*(1-J802)</f>
        <v>494</v>
      </c>
      <c r="L802" s="21" t="n">
        <f aca="false">G802*I802</f>
        <v>415</v>
      </c>
      <c r="M802" s="21" t="n">
        <f aca="false">K802-L802</f>
        <v>79</v>
      </c>
      <c r="N802" s="11" t="str">
        <f aca="false">TEXT(B802,"mmm")</f>
        <v>Aug</v>
      </c>
    </row>
    <row r="803" customFormat="false" ht="15" hidden="false" customHeight="false" outlineLevel="0" collapsed="false">
      <c r="A803" s="11" t="s">
        <v>864</v>
      </c>
      <c r="B803" s="20" t="n">
        <v>45878</v>
      </c>
      <c r="C803" s="11" t="s">
        <v>20</v>
      </c>
      <c r="D803" s="11" t="s">
        <v>37</v>
      </c>
      <c r="E803" s="11" t="s">
        <v>52</v>
      </c>
      <c r="F803" s="11" t="s">
        <v>44</v>
      </c>
      <c r="G803" s="11" t="n">
        <v>2</v>
      </c>
      <c r="H803" s="21" t="n">
        <v>12</v>
      </c>
      <c r="I803" s="21" t="n">
        <v>6</v>
      </c>
      <c r="J803" s="22" t="n">
        <v>0</v>
      </c>
      <c r="K803" s="21" t="n">
        <f aca="false">G803*H803*(1-J803)</f>
        <v>24</v>
      </c>
      <c r="L803" s="21" t="n">
        <f aca="false">G803*I803</f>
        <v>12</v>
      </c>
      <c r="M803" s="21" t="n">
        <f aca="false">K803-L803</f>
        <v>12</v>
      </c>
      <c r="N803" s="11" t="str">
        <f aca="false">TEXT(B803,"mmm")</f>
        <v>Aug</v>
      </c>
    </row>
    <row r="804" customFormat="false" ht="15" hidden="false" customHeight="false" outlineLevel="0" collapsed="false">
      <c r="A804" s="11" t="s">
        <v>865</v>
      </c>
      <c r="B804" s="20" t="n">
        <v>45879</v>
      </c>
      <c r="C804" s="11" t="s">
        <v>24</v>
      </c>
      <c r="D804" s="11" t="s">
        <v>37</v>
      </c>
      <c r="E804" s="11" t="s">
        <v>52</v>
      </c>
      <c r="F804" s="11" t="s">
        <v>45</v>
      </c>
      <c r="G804" s="11" t="n">
        <v>36</v>
      </c>
      <c r="H804" s="21" t="n">
        <v>12</v>
      </c>
      <c r="I804" s="21" t="n">
        <v>6</v>
      </c>
      <c r="J804" s="22" t="n">
        <v>0.2</v>
      </c>
      <c r="K804" s="21" t="n">
        <f aca="false">G804*H804*(1-J804)</f>
        <v>345.6</v>
      </c>
      <c r="L804" s="21" t="n">
        <f aca="false">G804*I804</f>
        <v>216</v>
      </c>
      <c r="M804" s="21" t="n">
        <f aca="false">K804-L804</f>
        <v>129.6</v>
      </c>
      <c r="N804" s="11" t="str">
        <f aca="false">TEXT(B804,"mmm")</f>
        <v>Aug</v>
      </c>
    </row>
    <row r="805" customFormat="false" ht="15" hidden="false" customHeight="false" outlineLevel="0" collapsed="false">
      <c r="A805" s="11" t="s">
        <v>866</v>
      </c>
      <c r="B805" s="20" t="n">
        <v>45879</v>
      </c>
      <c r="C805" s="11" t="s">
        <v>18</v>
      </c>
      <c r="D805" s="11" t="s">
        <v>37</v>
      </c>
      <c r="E805" s="11" t="s">
        <v>52</v>
      </c>
      <c r="F805" s="11" t="s">
        <v>42</v>
      </c>
      <c r="G805" s="11" t="n">
        <v>23</v>
      </c>
      <c r="H805" s="21" t="n">
        <v>12</v>
      </c>
      <c r="I805" s="21" t="n">
        <v>6</v>
      </c>
      <c r="J805" s="22" t="n">
        <v>0.15</v>
      </c>
      <c r="K805" s="21" t="n">
        <f aca="false">G805*H805*(1-J805)</f>
        <v>234.6</v>
      </c>
      <c r="L805" s="21" t="n">
        <f aca="false">G805*I805</f>
        <v>138</v>
      </c>
      <c r="M805" s="21" t="n">
        <f aca="false">K805-L805</f>
        <v>96.6</v>
      </c>
      <c r="N805" s="11" t="str">
        <f aca="false">TEXT(B805,"mmm")</f>
        <v>Aug</v>
      </c>
    </row>
    <row r="806" customFormat="false" ht="15" hidden="false" customHeight="false" outlineLevel="0" collapsed="false">
      <c r="A806" s="11" t="s">
        <v>867</v>
      </c>
      <c r="B806" s="20" t="n">
        <v>45879</v>
      </c>
      <c r="C806" s="11" t="s">
        <v>24</v>
      </c>
      <c r="D806" s="11" t="s">
        <v>37</v>
      </c>
      <c r="E806" s="11" t="s">
        <v>49</v>
      </c>
      <c r="F806" s="11" t="s">
        <v>42</v>
      </c>
      <c r="G806" s="11" t="n">
        <v>36</v>
      </c>
      <c r="H806" s="21" t="n">
        <v>28</v>
      </c>
      <c r="I806" s="21" t="n">
        <v>17</v>
      </c>
      <c r="J806" s="22" t="n">
        <v>0</v>
      </c>
      <c r="K806" s="21" t="n">
        <f aca="false">G806*H806*(1-J806)</f>
        <v>1008</v>
      </c>
      <c r="L806" s="21" t="n">
        <f aca="false">G806*I806</f>
        <v>612</v>
      </c>
      <c r="M806" s="21" t="n">
        <f aca="false">K806-L806</f>
        <v>396</v>
      </c>
      <c r="N806" s="11" t="str">
        <f aca="false">TEXT(B806,"mmm")</f>
        <v>Aug</v>
      </c>
    </row>
    <row r="807" customFormat="false" ht="15" hidden="false" customHeight="false" outlineLevel="0" collapsed="false">
      <c r="A807" s="11" t="s">
        <v>868</v>
      </c>
      <c r="B807" s="20" t="n">
        <v>45879</v>
      </c>
      <c r="C807" s="11" t="s">
        <v>22</v>
      </c>
      <c r="D807" s="11" t="s">
        <v>33</v>
      </c>
      <c r="E807" s="11" t="s">
        <v>51</v>
      </c>
      <c r="F807" s="11" t="s">
        <v>42</v>
      </c>
      <c r="G807" s="11" t="n">
        <v>5</v>
      </c>
      <c r="H807" s="21" t="n">
        <v>90</v>
      </c>
      <c r="I807" s="21" t="n">
        <v>58</v>
      </c>
      <c r="J807" s="22" t="n">
        <v>0.05</v>
      </c>
      <c r="K807" s="21" t="n">
        <f aca="false">G807*H807*(1-J807)</f>
        <v>427.5</v>
      </c>
      <c r="L807" s="21" t="n">
        <f aca="false">G807*I807</f>
        <v>290</v>
      </c>
      <c r="M807" s="21" t="n">
        <f aca="false">K807-L807</f>
        <v>137.5</v>
      </c>
      <c r="N807" s="11" t="str">
        <f aca="false">TEXT(B807,"mmm")</f>
        <v>Aug</v>
      </c>
    </row>
    <row r="808" customFormat="false" ht="15" hidden="false" customHeight="false" outlineLevel="0" collapsed="false">
      <c r="A808" s="11" t="s">
        <v>869</v>
      </c>
      <c r="B808" s="20" t="n">
        <v>45879</v>
      </c>
      <c r="C808" s="11" t="s">
        <v>18</v>
      </c>
      <c r="D808" s="11" t="s">
        <v>37</v>
      </c>
      <c r="E808" s="11" t="s">
        <v>49</v>
      </c>
      <c r="F808" s="11" t="s">
        <v>42</v>
      </c>
      <c r="G808" s="11" t="n">
        <v>15</v>
      </c>
      <c r="H808" s="21" t="n">
        <v>28</v>
      </c>
      <c r="I808" s="21" t="n">
        <v>17</v>
      </c>
      <c r="J808" s="22" t="n">
        <v>0.1</v>
      </c>
      <c r="K808" s="21" t="n">
        <f aca="false">G808*H808*(1-J808)</f>
        <v>378</v>
      </c>
      <c r="L808" s="21" t="n">
        <f aca="false">G808*I808</f>
        <v>255</v>
      </c>
      <c r="M808" s="21" t="n">
        <f aca="false">K808-L808</f>
        <v>123</v>
      </c>
      <c r="N808" s="11" t="str">
        <f aca="false">TEXT(B808,"mmm")</f>
        <v>Aug</v>
      </c>
    </row>
    <row r="809" customFormat="false" ht="15" hidden="false" customHeight="false" outlineLevel="0" collapsed="false">
      <c r="A809" s="11" t="s">
        <v>870</v>
      </c>
      <c r="B809" s="20" t="n">
        <v>45879</v>
      </c>
      <c r="C809" s="11" t="s">
        <v>22</v>
      </c>
      <c r="D809" s="11" t="s">
        <v>37</v>
      </c>
      <c r="E809" s="11" t="s">
        <v>52</v>
      </c>
      <c r="F809" s="11" t="s">
        <v>44</v>
      </c>
      <c r="G809" s="11" t="n">
        <v>18</v>
      </c>
      <c r="H809" s="21" t="n">
        <v>12</v>
      </c>
      <c r="I809" s="21" t="n">
        <v>6</v>
      </c>
      <c r="J809" s="22" t="n">
        <v>0</v>
      </c>
      <c r="K809" s="21" t="n">
        <f aca="false">G809*H809*(1-J809)</f>
        <v>216</v>
      </c>
      <c r="L809" s="21" t="n">
        <f aca="false">G809*I809</f>
        <v>108</v>
      </c>
      <c r="M809" s="21" t="n">
        <f aca="false">K809-L809</f>
        <v>108</v>
      </c>
      <c r="N809" s="11" t="str">
        <f aca="false">TEXT(B809,"mmm")</f>
        <v>Aug</v>
      </c>
    </row>
    <row r="810" customFormat="false" ht="15" hidden="false" customHeight="false" outlineLevel="0" collapsed="false">
      <c r="A810" s="11" t="s">
        <v>871</v>
      </c>
      <c r="B810" s="20" t="n">
        <v>45880</v>
      </c>
      <c r="C810" s="11" t="s">
        <v>24</v>
      </c>
      <c r="D810" s="11" t="s">
        <v>37</v>
      </c>
      <c r="E810" s="11" t="s">
        <v>52</v>
      </c>
      <c r="F810" s="11" t="s">
        <v>42</v>
      </c>
      <c r="G810" s="11" t="n">
        <v>16</v>
      </c>
      <c r="H810" s="21" t="n">
        <v>12</v>
      </c>
      <c r="I810" s="21" t="n">
        <v>6</v>
      </c>
      <c r="J810" s="22" t="n">
        <v>0</v>
      </c>
      <c r="K810" s="21" t="n">
        <f aca="false">G810*H810*(1-J810)</f>
        <v>192</v>
      </c>
      <c r="L810" s="21" t="n">
        <f aca="false">G810*I810</f>
        <v>96</v>
      </c>
      <c r="M810" s="21" t="n">
        <f aca="false">K810-L810</f>
        <v>96</v>
      </c>
      <c r="N810" s="11" t="str">
        <f aca="false">TEXT(B810,"mmm")</f>
        <v>Aug</v>
      </c>
    </row>
    <row r="811" customFormat="false" ht="15" hidden="false" customHeight="false" outlineLevel="0" collapsed="false">
      <c r="A811" s="11" t="s">
        <v>872</v>
      </c>
      <c r="B811" s="20" t="n">
        <v>45880</v>
      </c>
      <c r="C811" s="11" t="s">
        <v>18</v>
      </c>
      <c r="D811" s="11" t="s">
        <v>37</v>
      </c>
      <c r="E811" s="11" t="s">
        <v>52</v>
      </c>
      <c r="F811" s="11" t="s">
        <v>45</v>
      </c>
      <c r="G811" s="11" t="n">
        <v>18</v>
      </c>
      <c r="H811" s="21" t="n">
        <v>12</v>
      </c>
      <c r="I811" s="21" t="n">
        <v>6</v>
      </c>
      <c r="J811" s="22" t="n">
        <v>0.1</v>
      </c>
      <c r="K811" s="21" t="n">
        <f aca="false">G811*H811*(1-J811)</f>
        <v>194.4</v>
      </c>
      <c r="L811" s="21" t="n">
        <f aca="false">G811*I811</f>
        <v>108</v>
      </c>
      <c r="M811" s="21" t="n">
        <f aca="false">K811-L811</f>
        <v>86.4</v>
      </c>
      <c r="N811" s="11" t="str">
        <f aca="false">TEXT(B811,"mmm")</f>
        <v>Aug</v>
      </c>
    </row>
    <row r="812" customFormat="false" ht="15" hidden="false" customHeight="false" outlineLevel="0" collapsed="false">
      <c r="A812" s="11" t="s">
        <v>873</v>
      </c>
      <c r="B812" s="20" t="n">
        <v>45880</v>
      </c>
      <c r="C812" s="11" t="s">
        <v>22</v>
      </c>
      <c r="D812" s="11" t="s">
        <v>37</v>
      </c>
      <c r="E812" s="11" t="s">
        <v>49</v>
      </c>
      <c r="F812" s="11" t="s">
        <v>45</v>
      </c>
      <c r="G812" s="11" t="n">
        <v>78</v>
      </c>
      <c r="H812" s="21" t="n">
        <v>28</v>
      </c>
      <c r="I812" s="21" t="n">
        <v>17</v>
      </c>
      <c r="J812" s="22" t="n">
        <v>0.1</v>
      </c>
      <c r="K812" s="21" t="n">
        <f aca="false">G812*H812*(1-J812)</f>
        <v>1965.6</v>
      </c>
      <c r="L812" s="21" t="n">
        <f aca="false">G812*I812</f>
        <v>1326</v>
      </c>
      <c r="M812" s="21" t="n">
        <f aca="false">K812-L812</f>
        <v>639.6</v>
      </c>
      <c r="N812" s="11" t="str">
        <f aca="false">TEXT(B812,"mmm")</f>
        <v>Aug</v>
      </c>
    </row>
    <row r="813" customFormat="false" ht="15" hidden="false" customHeight="false" outlineLevel="0" collapsed="false">
      <c r="A813" s="11" t="s">
        <v>874</v>
      </c>
      <c r="B813" s="20" t="n">
        <v>45880</v>
      </c>
      <c r="C813" s="11" t="s">
        <v>20</v>
      </c>
      <c r="D813" s="11" t="s">
        <v>37</v>
      </c>
      <c r="E813" s="11" t="s">
        <v>52</v>
      </c>
      <c r="F813" s="11" t="s">
        <v>44</v>
      </c>
      <c r="G813" s="11" t="n">
        <v>35</v>
      </c>
      <c r="H813" s="21" t="n">
        <v>12</v>
      </c>
      <c r="I813" s="21" t="n">
        <v>6</v>
      </c>
      <c r="J813" s="22" t="n">
        <v>0.05</v>
      </c>
      <c r="K813" s="21" t="n">
        <f aca="false">G813*H813*(1-J813)</f>
        <v>399</v>
      </c>
      <c r="L813" s="21" t="n">
        <f aca="false">G813*I813</f>
        <v>210</v>
      </c>
      <c r="M813" s="21" t="n">
        <f aca="false">K813-L813</f>
        <v>189</v>
      </c>
      <c r="N813" s="11" t="str">
        <f aca="false">TEXT(B813,"mmm")</f>
        <v>Aug</v>
      </c>
    </row>
    <row r="814" customFormat="false" ht="15" hidden="false" customHeight="false" outlineLevel="0" collapsed="false">
      <c r="A814" s="11" t="s">
        <v>875</v>
      </c>
      <c r="B814" s="20" t="n">
        <v>45881</v>
      </c>
      <c r="C814" s="11" t="s">
        <v>18</v>
      </c>
      <c r="D814" s="11" t="s">
        <v>37</v>
      </c>
      <c r="E814" s="11" t="s">
        <v>53</v>
      </c>
      <c r="F814" s="11" t="s">
        <v>42</v>
      </c>
      <c r="G814" s="11" t="n">
        <v>3</v>
      </c>
      <c r="H814" s="21" t="n">
        <v>9</v>
      </c>
      <c r="I814" s="21" t="n">
        <v>4.5</v>
      </c>
      <c r="J814" s="22" t="n">
        <v>0.1</v>
      </c>
      <c r="K814" s="21" t="n">
        <f aca="false">G814*H814*(1-J814)</f>
        <v>24.3</v>
      </c>
      <c r="L814" s="21" t="n">
        <f aca="false">G814*I814</f>
        <v>13.5</v>
      </c>
      <c r="M814" s="21" t="n">
        <f aca="false">K814-L814</f>
        <v>10.8</v>
      </c>
      <c r="N814" s="11" t="str">
        <f aca="false">TEXT(B814,"mmm")</f>
        <v>Aug</v>
      </c>
    </row>
    <row r="815" customFormat="false" ht="15" hidden="false" customHeight="false" outlineLevel="0" collapsed="false">
      <c r="A815" s="11" t="s">
        <v>876</v>
      </c>
      <c r="B815" s="20" t="n">
        <v>45881</v>
      </c>
      <c r="C815" s="11" t="s">
        <v>18</v>
      </c>
      <c r="D815" s="11" t="s">
        <v>35</v>
      </c>
      <c r="E815" s="11" t="s">
        <v>56</v>
      </c>
      <c r="F815" s="11" t="s">
        <v>44</v>
      </c>
      <c r="G815" s="11" t="n">
        <v>1</v>
      </c>
      <c r="H815" s="21" t="n">
        <v>110</v>
      </c>
      <c r="I815" s="21" t="n">
        <v>62</v>
      </c>
      <c r="J815" s="22" t="n">
        <v>0</v>
      </c>
      <c r="K815" s="21" t="n">
        <f aca="false">G815*H815*(1-J815)</f>
        <v>110</v>
      </c>
      <c r="L815" s="21" t="n">
        <f aca="false">G815*I815</f>
        <v>62</v>
      </c>
      <c r="M815" s="21" t="n">
        <f aca="false">K815-L815</f>
        <v>48</v>
      </c>
      <c r="N815" s="11" t="str">
        <f aca="false">TEXT(B815,"mmm")</f>
        <v>Aug</v>
      </c>
    </row>
    <row r="816" customFormat="false" ht="15" hidden="false" customHeight="false" outlineLevel="0" collapsed="false">
      <c r="A816" s="11" t="s">
        <v>877</v>
      </c>
      <c r="B816" s="20" t="n">
        <v>45881</v>
      </c>
      <c r="C816" s="11" t="s">
        <v>20</v>
      </c>
      <c r="D816" s="11" t="s">
        <v>33</v>
      </c>
      <c r="E816" s="11" t="s">
        <v>48</v>
      </c>
      <c r="F816" s="11" t="s">
        <v>45</v>
      </c>
      <c r="G816" s="11" t="n">
        <v>1</v>
      </c>
      <c r="H816" s="21" t="n">
        <v>520</v>
      </c>
      <c r="I816" s="21" t="n">
        <v>415</v>
      </c>
      <c r="J816" s="22" t="n">
        <v>0.1</v>
      </c>
      <c r="K816" s="21" t="n">
        <f aca="false">G816*H816*(1-J816)</f>
        <v>468</v>
      </c>
      <c r="L816" s="21" t="n">
        <f aca="false">G816*I816</f>
        <v>415</v>
      </c>
      <c r="M816" s="21" t="n">
        <f aca="false">K816-L816</f>
        <v>53</v>
      </c>
      <c r="N816" s="11" t="str">
        <f aca="false">TEXT(B816,"mmm")</f>
        <v>Aug</v>
      </c>
    </row>
    <row r="817" customFormat="false" ht="15" hidden="false" customHeight="false" outlineLevel="0" collapsed="false">
      <c r="A817" s="11" t="s">
        <v>878</v>
      </c>
      <c r="B817" s="20" t="n">
        <v>45881</v>
      </c>
      <c r="C817" s="11" t="s">
        <v>22</v>
      </c>
      <c r="D817" s="11" t="s">
        <v>37</v>
      </c>
      <c r="E817" s="11" t="s">
        <v>53</v>
      </c>
      <c r="F817" s="11" t="s">
        <v>42</v>
      </c>
      <c r="G817" s="11" t="n">
        <v>36</v>
      </c>
      <c r="H817" s="21" t="n">
        <v>9</v>
      </c>
      <c r="I817" s="21" t="n">
        <v>4.5</v>
      </c>
      <c r="J817" s="22" t="n">
        <v>0.15</v>
      </c>
      <c r="K817" s="21" t="n">
        <f aca="false">G817*H817*(1-J817)</f>
        <v>275.4</v>
      </c>
      <c r="L817" s="21" t="n">
        <f aca="false">G817*I817</f>
        <v>162</v>
      </c>
      <c r="M817" s="21" t="n">
        <f aca="false">K817-L817</f>
        <v>113.4</v>
      </c>
      <c r="N817" s="11" t="str">
        <f aca="false">TEXT(B817,"mmm")</f>
        <v>Aug</v>
      </c>
    </row>
    <row r="818" customFormat="false" ht="15" hidden="false" customHeight="false" outlineLevel="0" collapsed="false">
      <c r="A818" s="11" t="s">
        <v>879</v>
      </c>
      <c r="B818" s="20" t="n">
        <v>45881</v>
      </c>
      <c r="C818" s="11" t="s">
        <v>24</v>
      </c>
      <c r="D818" s="11" t="s">
        <v>37</v>
      </c>
      <c r="E818" s="11" t="s">
        <v>53</v>
      </c>
      <c r="F818" s="11" t="s">
        <v>42</v>
      </c>
      <c r="G818" s="11" t="n">
        <v>18</v>
      </c>
      <c r="H818" s="21" t="n">
        <v>9</v>
      </c>
      <c r="I818" s="21" t="n">
        <v>4.5</v>
      </c>
      <c r="J818" s="22" t="n">
        <v>0.05</v>
      </c>
      <c r="K818" s="21" t="n">
        <f aca="false">G818*H818*(1-J818)</f>
        <v>153.9</v>
      </c>
      <c r="L818" s="21" t="n">
        <f aca="false">G818*I818</f>
        <v>81</v>
      </c>
      <c r="M818" s="21" t="n">
        <f aca="false">K818-L818</f>
        <v>72.9</v>
      </c>
      <c r="N818" s="11" t="str">
        <f aca="false">TEXT(B818,"mmm")</f>
        <v>Aug</v>
      </c>
    </row>
    <row r="819" customFormat="false" ht="15" hidden="false" customHeight="false" outlineLevel="0" collapsed="false">
      <c r="A819" s="11" t="s">
        <v>880</v>
      </c>
      <c r="B819" s="20" t="n">
        <v>45881</v>
      </c>
      <c r="C819" s="11" t="s">
        <v>18</v>
      </c>
      <c r="D819" s="11" t="s">
        <v>33</v>
      </c>
      <c r="E819" s="11" t="s">
        <v>48</v>
      </c>
      <c r="F819" s="11" t="s">
        <v>45</v>
      </c>
      <c r="G819" s="11" t="n">
        <v>4</v>
      </c>
      <c r="H819" s="21" t="n">
        <v>520</v>
      </c>
      <c r="I819" s="21" t="n">
        <v>415</v>
      </c>
      <c r="J819" s="22" t="n">
        <v>0.1</v>
      </c>
      <c r="K819" s="21" t="n">
        <f aca="false">G819*H819*(1-J819)</f>
        <v>1872</v>
      </c>
      <c r="L819" s="21" t="n">
        <f aca="false">G819*I819</f>
        <v>1660</v>
      </c>
      <c r="M819" s="21" t="n">
        <f aca="false">K819-L819</f>
        <v>212</v>
      </c>
      <c r="N819" s="11" t="str">
        <f aca="false">TEXT(B819,"mmm")</f>
        <v>Aug</v>
      </c>
    </row>
    <row r="820" customFormat="false" ht="15" hidden="false" customHeight="false" outlineLevel="0" collapsed="false">
      <c r="A820" s="11" t="s">
        <v>881</v>
      </c>
      <c r="B820" s="20" t="n">
        <v>45882</v>
      </c>
      <c r="C820" s="11" t="s">
        <v>22</v>
      </c>
      <c r="D820" s="11" t="s">
        <v>33</v>
      </c>
      <c r="E820" s="11" t="s">
        <v>48</v>
      </c>
      <c r="F820" s="11" t="s">
        <v>44</v>
      </c>
      <c r="G820" s="11" t="n">
        <v>4</v>
      </c>
      <c r="H820" s="21" t="n">
        <v>520</v>
      </c>
      <c r="I820" s="21" t="n">
        <v>415</v>
      </c>
      <c r="J820" s="22" t="n">
        <v>0</v>
      </c>
      <c r="K820" s="21" t="n">
        <f aca="false">G820*H820*(1-J820)</f>
        <v>2080</v>
      </c>
      <c r="L820" s="21" t="n">
        <f aca="false">G820*I820</f>
        <v>1660</v>
      </c>
      <c r="M820" s="21" t="n">
        <f aca="false">K820-L820</f>
        <v>420</v>
      </c>
      <c r="N820" s="11" t="str">
        <f aca="false">TEXT(B820,"mmm")</f>
        <v>Aug</v>
      </c>
    </row>
    <row r="821" customFormat="false" ht="15" hidden="false" customHeight="false" outlineLevel="0" collapsed="false">
      <c r="A821" s="11" t="s">
        <v>882</v>
      </c>
      <c r="B821" s="20" t="n">
        <v>45882</v>
      </c>
      <c r="C821" s="11" t="s">
        <v>20</v>
      </c>
      <c r="D821" s="11" t="s">
        <v>37</v>
      </c>
      <c r="E821" s="11" t="s">
        <v>52</v>
      </c>
      <c r="F821" s="11" t="s">
        <v>44</v>
      </c>
      <c r="G821" s="11" t="n">
        <v>35</v>
      </c>
      <c r="H821" s="21" t="n">
        <v>12</v>
      </c>
      <c r="I821" s="21" t="n">
        <v>6</v>
      </c>
      <c r="J821" s="22" t="n">
        <v>0</v>
      </c>
      <c r="K821" s="21" t="n">
        <f aca="false">G821*H821*(1-J821)</f>
        <v>420</v>
      </c>
      <c r="L821" s="21" t="n">
        <f aca="false">G821*I821</f>
        <v>210</v>
      </c>
      <c r="M821" s="21" t="n">
        <f aca="false">K821-L821</f>
        <v>210</v>
      </c>
      <c r="N821" s="11" t="str">
        <f aca="false">TEXT(B821,"mmm")</f>
        <v>Aug</v>
      </c>
    </row>
    <row r="822" customFormat="false" ht="15" hidden="false" customHeight="false" outlineLevel="0" collapsed="false">
      <c r="A822" s="11" t="s">
        <v>883</v>
      </c>
      <c r="B822" s="20" t="n">
        <v>45882</v>
      </c>
      <c r="C822" s="11" t="s">
        <v>18</v>
      </c>
      <c r="D822" s="11" t="s">
        <v>37</v>
      </c>
      <c r="E822" s="11" t="s">
        <v>49</v>
      </c>
      <c r="F822" s="11" t="s">
        <v>44</v>
      </c>
      <c r="G822" s="11" t="n">
        <v>25</v>
      </c>
      <c r="H822" s="21" t="n">
        <v>28</v>
      </c>
      <c r="I822" s="21" t="n">
        <v>17</v>
      </c>
      <c r="J822" s="22" t="n">
        <v>0</v>
      </c>
      <c r="K822" s="21" t="n">
        <f aca="false">G822*H822*(1-J822)</f>
        <v>700</v>
      </c>
      <c r="L822" s="21" t="n">
        <f aca="false">G822*I822</f>
        <v>425</v>
      </c>
      <c r="M822" s="21" t="n">
        <f aca="false">K822-L822</f>
        <v>275</v>
      </c>
      <c r="N822" s="11" t="str">
        <f aca="false">TEXT(B822,"mmm")</f>
        <v>Aug</v>
      </c>
    </row>
    <row r="823" customFormat="false" ht="15" hidden="false" customHeight="false" outlineLevel="0" collapsed="false">
      <c r="A823" s="11" t="s">
        <v>884</v>
      </c>
      <c r="B823" s="20" t="n">
        <v>45882</v>
      </c>
      <c r="C823" s="11" t="s">
        <v>18</v>
      </c>
      <c r="D823" s="11" t="s">
        <v>33</v>
      </c>
      <c r="E823" s="11" t="s">
        <v>50</v>
      </c>
      <c r="F823" s="11" t="s">
        <v>44</v>
      </c>
      <c r="G823" s="11" t="n">
        <v>2</v>
      </c>
      <c r="H823" s="21" t="n">
        <v>780</v>
      </c>
      <c r="I823" s="21" t="n">
        <v>600</v>
      </c>
      <c r="J823" s="22" t="n">
        <v>0</v>
      </c>
      <c r="K823" s="21" t="n">
        <f aca="false">G823*H823*(1-J823)</f>
        <v>1560</v>
      </c>
      <c r="L823" s="21" t="n">
        <f aca="false">G823*I823</f>
        <v>1200</v>
      </c>
      <c r="M823" s="21" t="n">
        <f aca="false">K823-L823</f>
        <v>360</v>
      </c>
      <c r="N823" s="11" t="str">
        <f aca="false">TEXT(B823,"mmm")</f>
        <v>Aug</v>
      </c>
    </row>
    <row r="824" customFormat="false" ht="15" hidden="false" customHeight="false" outlineLevel="0" collapsed="false">
      <c r="A824" s="11" t="s">
        <v>885</v>
      </c>
      <c r="B824" s="20" t="n">
        <v>45883</v>
      </c>
      <c r="C824" s="11" t="s">
        <v>18</v>
      </c>
      <c r="D824" s="11" t="s">
        <v>37</v>
      </c>
      <c r="E824" s="11" t="s">
        <v>52</v>
      </c>
      <c r="F824" s="11" t="s">
        <v>42</v>
      </c>
      <c r="G824" s="11" t="n">
        <v>39</v>
      </c>
      <c r="H824" s="21" t="n">
        <v>12</v>
      </c>
      <c r="I824" s="21" t="n">
        <v>6</v>
      </c>
      <c r="J824" s="22" t="n">
        <v>0</v>
      </c>
      <c r="K824" s="21" t="n">
        <f aca="false">G824*H824*(1-J824)</f>
        <v>468</v>
      </c>
      <c r="L824" s="21" t="n">
        <f aca="false">G824*I824</f>
        <v>234</v>
      </c>
      <c r="M824" s="21" t="n">
        <f aca="false">K824-L824</f>
        <v>234</v>
      </c>
      <c r="N824" s="11" t="str">
        <f aca="false">TEXT(B824,"mmm")</f>
        <v>Aug</v>
      </c>
    </row>
    <row r="825" customFormat="false" ht="15" hidden="false" customHeight="false" outlineLevel="0" collapsed="false">
      <c r="A825" s="11" t="s">
        <v>886</v>
      </c>
      <c r="B825" s="20" t="n">
        <v>45883</v>
      </c>
      <c r="C825" s="11" t="s">
        <v>18</v>
      </c>
      <c r="D825" s="11" t="s">
        <v>37</v>
      </c>
      <c r="E825" s="11" t="s">
        <v>49</v>
      </c>
      <c r="F825" s="11" t="s">
        <v>44</v>
      </c>
      <c r="G825" s="11" t="n">
        <v>20</v>
      </c>
      <c r="H825" s="21" t="n">
        <v>28</v>
      </c>
      <c r="I825" s="21" t="n">
        <v>17</v>
      </c>
      <c r="J825" s="22" t="n">
        <v>0.05</v>
      </c>
      <c r="K825" s="21" t="n">
        <f aca="false">G825*H825*(1-J825)</f>
        <v>532</v>
      </c>
      <c r="L825" s="21" t="n">
        <f aca="false">G825*I825</f>
        <v>340</v>
      </c>
      <c r="M825" s="21" t="n">
        <f aca="false">K825-L825</f>
        <v>192</v>
      </c>
      <c r="N825" s="11" t="str">
        <f aca="false">TEXT(B825,"mmm")</f>
        <v>Aug</v>
      </c>
    </row>
    <row r="826" customFormat="false" ht="15" hidden="false" customHeight="false" outlineLevel="0" collapsed="false">
      <c r="A826" s="11" t="s">
        <v>887</v>
      </c>
      <c r="B826" s="20" t="n">
        <v>45883</v>
      </c>
      <c r="C826" s="11" t="s">
        <v>18</v>
      </c>
      <c r="D826" s="11" t="s">
        <v>35</v>
      </c>
      <c r="E826" s="11" t="s">
        <v>55</v>
      </c>
      <c r="F826" s="11" t="s">
        <v>42</v>
      </c>
      <c r="G826" s="11" t="n">
        <v>2</v>
      </c>
      <c r="H826" s="21" t="n">
        <v>150</v>
      </c>
      <c r="I826" s="21" t="n">
        <v>82</v>
      </c>
      <c r="J826" s="22" t="n">
        <v>0.05</v>
      </c>
      <c r="K826" s="21" t="n">
        <f aca="false">G826*H826*(1-J826)</f>
        <v>285</v>
      </c>
      <c r="L826" s="21" t="n">
        <f aca="false">G826*I826</f>
        <v>164</v>
      </c>
      <c r="M826" s="21" t="n">
        <f aca="false">K826-L826</f>
        <v>121</v>
      </c>
      <c r="N826" s="11" t="str">
        <f aca="false">TEXT(B826,"mmm")</f>
        <v>Aug</v>
      </c>
    </row>
    <row r="827" customFormat="false" ht="15" hidden="false" customHeight="false" outlineLevel="0" collapsed="false">
      <c r="A827" s="11" t="s">
        <v>888</v>
      </c>
      <c r="B827" s="20" t="n">
        <v>45883</v>
      </c>
      <c r="C827" s="11" t="s">
        <v>24</v>
      </c>
      <c r="D827" s="11" t="s">
        <v>33</v>
      </c>
      <c r="E827" s="11" t="s">
        <v>50</v>
      </c>
      <c r="F827" s="11" t="s">
        <v>44</v>
      </c>
      <c r="G827" s="11" t="n">
        <v>2</v>
      </c>
      <c r="H827" s="21" t="n">
        <v>780</v>
      </c>
      <c r="I827" s="21" t="n">
        <v>600</v>
      </c>
      <c r="J827" s="22" t="n">
        <v>0.1</v>
      </c>
      <c r="K827" s="21" t="n">
        <f aca="false">G827*H827*(1-J827)</f>
        <v>1404</v>
      </c>
      <c r="L827" s="21" t="n">
        <f aca="false">G827*I827</f>
        <v>1200</v>
      </c>
      <c r="M827" s="21" t="n">
        <f aca="false">K827-L827</f>
        <v>204</v>
      </c>
      <c r="N827" s="11" t="str">
        <f aca="false">TEXT(B827,"mmm")</f>
        <v>Aug</v>
      </c>
    </row>
    <row r="828" customFormat="false" ht="15" hidden="false" customHeight="false" outlineLevel="0" collapsed="false">
      <c r="A828" s="11" t="s">
        <v>889</v>
      </c>
      <c r="B828" s="20" t="n">
        <v>45883</v>
      </c>
      <c r="C828" s="11" t="s">
        <v>18</v>
      </c>
      <c r="D828" s="11" t="s">
        <v>33</v>
      </c>
      <c r="E828" s="11" t="s">
        <v>50</v>
      </c>
      <c r="F828" s="11" t="s">
        <v>45</v>
      </c>
      <c r="G828" s="11" t="n">
        <v>1</v>
      </c>
      <c r="H828" s="21" t="n">
        <v>780</v>
      </c>
      <c r="I828" s="21" t="n">
        <v>600</v>
      </c>
      <c r="J828" s="22" t="n">
        <v>0.1</v>
      </c>
      <c r="K828" s="21" t="n">
        <f aca="false">G828*H828*(1-J828)</f>
        <v>702</v>
      </c>
      <c r="L828" s="21" t="n">
        <f aca="false">G828*I828</f>
        <v>600</v>
      </c>
      <c r="M828" s="21" t="n">
        <f aca="false">K828-L828</f>
        <v>102</v>
      </c>
      <c r="N828" s="11" t="str">
        <f aca="false">TEXT(B828,"mmm")</f>
        <v>Aug</v>
      </c>
    </row>
    <row r="829" customFormat="false" ht="15" hidden="false" customHeight="false" outlineLevel="0" collapsed="false">
      <c r="A829" s="11" t="s">
        <v>890</v>
      </c>
      <c r="B829" s="20" t="n">
        <v>45884</v>
      </c>
      <c r="C829" s="11" t="s">
        <v>18</v>
      </c>
      <c r="D829" s="11" t="s">
        <v>33</v>
      </c>
      <c r="E829" s="11" t="s">
        <v>48</v>
      </c>
      <c r="F829" s="11" t="s">
        <v>42</v>
      </c>
      <c r="G829" s="11" t="n">
        <v>4</v>
      </c>
      <c r="H829" s="21" t="n">
        <v>520</v>
      </c>
      <c r="I829" s="21" t="n">
        <v>415</v>
      </c>
      <c r="J829" s="22" t="n">
        <v>0.15</v>
      </c>
      <c r="K829" s="21" t="n">
        <f aca="false">G829*H829*(1-J829)</f>
        <v>1768</v>
      </c>
      <c r="L829" s="21" t="n">
        <f aca="false">G829*I829</f>
        <v>1660</v>
      </c>
      <c r="M829" s="21" t="n">
        <f aca="false">K829-L829</f>
        <v>108</v>
      </c>
      <c r="N829" s="11" t="str">
        <f aca="false">TEXT(B829,"mmm")</f>
        <v>Aug</v>
      </c>
    </row>
    <row r="830" customFormat="false" ht="15" hidden="false" customHeight="false" outlineLevel="0" collapsed="false">
      <c r="A830" s="11" t="s">
        <v>891</v>
      </c>
      <c r="B830" s="20" t="n">
        <v>45884</v>
      </c>
      <c r="C830" s="11" t="s">
        <v>18</v>
      </c>
      <c r="D830" s="11" t="s">
        <v>35</v>
      </c>
      <c r="E830" s="11" t="s">
        <v>55</v>
      </c>
      <c r="F830" s="11" t="s">
        <v>44</v>
      </c>
      <c r="G830" s="11" t="n">
        <v>2</v>
      </c>
      <c r="H830" s="21" t="n">
        <v>150</v>
      </c>
      <c r="I830" s="21" t="n">
        <v>82</v>
      </c>
      <c r="J830" s="22" t="n">
        <v>0.1</v>
      </c>
      <c r="K830" s="21" t="n">
        <f aca="false">G830*H830*(1-J830)</f>
        <v>270</v>
      </c>
      <c r="L830" s="21" t="n">
        <f aca="false">G830*I830</f>
        <v>164</v>
      </c>
      <c r="M830" s="21" t="n">
        <f aca="false">K830-L830</f>
        <v>106</v>
      </c>
      <c r="N830" s="11" t="str">
        <f aca="false">TEXT(B830,"mmm")</f>
        <v>Aug</v>
      </c>
    </row>
    <row r="831" customFormat="false" ht="15" hidden="false" customHeight="false" outlineLevel="0" collapsed="false">
      <c r="A831" s="11" t="s">
        <v>892</v>
      </c>
      <c r="B831" s="20" t="n">
        <v>45884</v>
      </c>
      <c r="C831" s="11" t="s">
        <v>22</v>
      </c>
      <c r="D831" s="11" t="s">
        <v>33</v>
      </c>
      <c r="E831" s="11" t="s">
        <v>50</v>
      </c>
      <c r="F831" s="11" t="s">
        <v>42</v>
      </c>
      <c r="G831" s="11" t="n">
        <v>2</v>
      </c>
      <c r="H831" s="21" t="n">
        <v>780</v>
      </c>
      <c r="I831" s="21" t="n">
        <v>600</v>
      </c>
      <c r="J831" s="22" t="n">
        <v>0.05</v>
      </c>
      <c r="K831" s="21" t="n">
        <f aca="false">G831*H831*(1-J831)</f>
        <v>1482</v>
      </c>
      <c r="L831" s="21" t="n">
        <f aca="false">G831*I831</f>
        <v>1200</v>
      </c>
      <c r="M831" s="21" t="n">
        <f aca="false">K831-L831</f>
        <v>282</v>
      </c>
      <c r="N831" s="11" t="str">
        <f aca="false">TEXT(B831,"mmm")</f>
        <v>Aug</v>
      </c>
    </row>
    <row r="832" customFormat="false" ht="15" hidden="false" customHeight="false" outlineLevel="0" collapsed="false">
      <c r="A832" s="11" t="s">
        <v>893</v>
      </c>
      <c r="B832" s="20" t="n">
        <v>45884</v>
      </c>
      <c r="C832" s="11" t="s">
        <v>18</v>
      </c>
      <c r="D832" s="11" t="s">
        <v>33</v>
      </c>
      <c r="E832" s="11" t="s">
        <v>48</v>
      </c>
      <c r="F832" s="11" t="s">
        <v>44</v>
      </c>
      <c r="G832" s="11" t="n">
        <v>4</v>
      </c>
      <c r="H832" s="21" t="n">
        <v>520</v>
      </c>
      <c r="I832" s="21" t="n">
        <v>415</v>
      </c>
      <c r="J832" s="22" t="n">
        <v>0.05</v>
      </c>
      <c r="K832" s="21" t="n">
        <f aca="false">G832*H832*(1-J832)</f>
        <v>1976</v>
      </c>
      <c r="L832" s="21" t="n">
        <f aca="false">G832*I832</f>
        <v>1660</v>
      </c>
      <c r="M832" s="21" t="n">
        <f aca="false">K832-L832</f>
        <v>316</v>
      </c>
      <c r="N832" s="11" t="str">
        <f aca="false">TEXT(B832,"mmm")</f>
        <v>Aug</v>
      </c>
    </row>
    <row r="833" customFormat="false" ht="15" hidden="false" customHeight="false" outlineLevel="0" collapsed="false">
      <c r="A833" s="11" t="s">
        <v>894</v>
      </c>
      <c r="B833" s="20" t="n">
        <v>45884</v>
      </c>
      <c r="C833" s="11" t="s">
        <v>18</v>
      </c>
      <c r="D833" s="11" t="s">
        <v>33</v>
      </c>
      <c r="E833" s="11" t="s">
        <v>48</v>
      </c>
      <c r="F833" s="11" t="s">
        <v>44</v>
      </c>
      <c r="G833" s="11" t="n">
        <v>3</v>
      </c>
      <c r="H833" s="21" t="n">
        <v>520</v>
      </c>
      <c r="I833" s="21" t="n">
        <v>415</v>
      </c>
      <c r="J833" s="22" t="n">
        <v>0.1</v>
      </c>
      <c r="K833" s="21" t="n">
        <f aca="false">G833*H833*(1-J833)</f>
        <v>1404</v>
      </c>
      <c r="L833" s="21" t="n">
        <f aca="false">G833*I833</f>
        <v>1245</v>
      </c>
      <c r="M833" s="21" t="n">
        <f aca="false">K833-L833</f>
        <v>159</v>
      </c>
      <c r="N833" s="11" t="str">
        <f aca="false">TEXT(B833,"mmm")</f>
        <v>Aug</v>
      </c>
    </row>
    <row r="834" customFormat="false" ht="15" hidden="false" customHeight="false" outlineLevel="0" collapsed="false">
      <c r="A834" s="11" t="s">
        <v>895</v>
      </c>
      <c r="B834" s="20" t="n">
        <v>45885</v>
      </c>
      <c r="C834" s="11" t="s">
        <v>22</v>
      </c>
      <c r="D834" s="11" t="s">
        <v>37</v>
      </c>
      <c r="E834" s="11" t="s">
        <v>52</v>
      </c>
      <c r="F834" s="11" t="s">
        <v>45</v>
      </c>
      <c r="G834" s="11" t="n">
        <v>48</v>
      </c>
      <c r="H834" s="21" t="n">
        <v>12</v>
      </c>
      <c r="I834" s="21" t="n">
        <v>6</v>
      </c>
      <c r="J834" s="22" t="n">
        <v>0.15</v>
      </c>
      <c r="K834" s="21" t="n">
        <f aca="false">G834*H834*(1-J834)</f>
        <v>489.6</v>
      </c>
      <c r="L834" s="21" t="n">
        <f aca="false">G834*I834</f>
        <v>288</v>
      </c>
      <c r="M834" s="21" t="n">
        <f aca="false">K834-L834</f>
        <v>201.6</v>
      </c>
      <c r="N834" s="11" t="str">
        <f aca="false">TEXT(B834,"mmm")</f>
        <v>Aug</v>
      </c>
    </row>
    <row r="835" customFormat="false" ht="15" hidden="false" customHeight="false" outlineLevel="0" collapsed="false">
      <c r="A835" s="11" t="s">
        <v>896</v>
      </c>
      <c r="B835" s="20" t="n">
        <v>45885</v>
      </c>
      <c r="C835" s="11" t="s">
        <v>18</v>
      </c>
      <c r="D835" s="11" t="s">
        <v>33</v>
      </c>
      <c r="E835" s="11" t="s">
        <v>51</v>
      </c>
      <c r="F835" s="11" t="s">
        <v>45</v>
      </c>
      <c r="G835" s="11" t="n">
        <v>3</v>
      </c>
      <c r="H835" s="21" t="n">
        <v>90</v>
      </c>
      <c r="I835" s="21" t="n">
        <v>58</v>
      </c>
      <c r="J835" s="22" t="n">
        <v>0.1</v>
      </c>
      <c r="K835" s="21" t="n">
        <f aca="false">G835*H835*(1-J835)</f>
        <v>243</v>
      </c>
      <c r="L835" s="21" t="n">
        <f aca="false">G835*I835</f>
        <v>174</v>
      </c>
      <c r="M835" s="21" t="n">
        <f aca="false">K835-L835</f>
        <v>69</v>
      </c>
      <c r="N835" s="11" t="str">
        <f aca="false">TEXT(B835,"mmm")</f>
        <v>Aug</v>
      </c>
    </row>
    <row r="836" customFormat="false" ht="15" hidden="false" customHeight="false" outlineLevel="0" collapsed="false">
      <c r="A836" s="11" t="s">
        <v>897</v>
      </c>
      <c r="B836" s="20" t="n">
        <v>45885</v>
      </c>
      <c r="C836" s="11" t="s">
        <v>18</v>
      </c>
      <c r="D836" s="11" t="s">
        <v>33</v>
      </c>
      <c r="E836" s="11" t="s">
        <v>51</v>
      </c>
      <c r="F836" s="11" t="s">
        <v>44</v>
      </c>
      <c r="G836" s="11" t="n">
        <v>3</v>
      </c>
      <c r="H836" s="21" t="n">
        <v>90</v>
      </c>
      <c r="I836" s="21" t="n">
        <v>58</v>
      </c>
      <c r="J836" s="22" t="n">
        <v>0</v>
      </c>
      <c r="K836" s="21" t="n">
        <f aca="false">G836*H836*(1-J836)</f>
        <v>270</v>
      </c>
      <c r="L836" s="21" t="n">
        <f aca="false">G836*I836</f>
        <v>174</v>
      </c>
      <c r="M836" s="21" t="n">
        <f aca="false">K836-L836</f>
        <v>96</v>
      </c>
      <c r="N836" s="11" t="str">
        <f aca="false">TEXT(B836,"mmm")</f>
        <v>Aug</v>
      </c>
    </row>
    <row r="837" customFormat="false" ht="15" hidden="false" customHeight="false" outlineLevel="0" collapsed="false">
      <c r="A837" s="11" t="s">
        <v>898</v>
      </c>
      <c r="B837" s="20" t="n">
        <v>45885</v>
      </c>
      <c r="C837" s="11" t="s">
        <v>20</v>
      </c>
      <c r="D837" s="11" t="s">
        <v>35</v>
      </c>
      <c r="E837" s="11" t="s">
        <v>55</v>
      </c>
      <c r="F837" s="11" t="s">
        <v>42</v>
      </c>
      <c r="G837" s="11" t="n">
        <v>3</v>
      </c>
      <c r="H837" s="21" t="n">
        <v>150</v>
      </c>
      <c r="I837" s="21" t="n">
        <v>82</v>
      </c>
      <c r="J837" s="22" t="n">
        <v>0</v>
      </c>
      <c r="K837" s="21" t="n">
        <f aca="false">G837*H837*(1-J837)</f>
        <v>450</v>
      </c>
      <c r="L837" s="21" t="n">
        <f aca="false">G837*I837</f>
        <v>246</v>
      </c>
      <c r="M837" s="21" t="n">
        <f aca="false">K837-L837</f>
        <v>204</v>
      </c>
      <c r="N837" s="11" t="str">
        <f aca="false">TEXT(B837,"mmm")</f>
        <v>Aug</v>
      </c>
    </row>
    <row r="838" customFormat="false" ht="15" hidden="false" customHeight="false" outlineLevel="0" collapsed="false">
      <c r="A838" s="11" t="s">
        <v>899</v>
      </c>
      <c r="B838" s="20" t="n">
        <v>45885</v>
      </c>
      <c r="C838" s="11" t="s">
        <v>20</v>
      </c>
      <c r="D838" s="11" t="s">
        <v>33</v>
      </c>
      <c r="E838" s="11" t="s">
        <v>50</v>
      </c>
      <c r="F838" s="11" t="s">
        <v>42</v>
      </c>
      <c r="G838" s="11" t="n">
        <v>2</v>
      </c>
      <c r="H838" s="21" t="n">
        <v>780</v>
      </c>
      <c r="I838" s="21" t="n">
        <v>600</v>
      </c>
      <c r="J838" s="22" t="n">
        <v>0.05</v>
      </c>
      <c r="K838" s="21" t="n">
        <f aca="false">G838*H838*(1-J838)</f>
        <v>1482</v>
      </c>
      <c r="L838" s="21" t="n">
        <f aca="false">G838*I838</f>
        <v>1200</v>
      </c>
      <c r="M838" s="21" t="n">
        <f aca="false">K838-L838</f>
        <v>282</v>
      </c>
      <c r="N838" s="11" t="str">
        <f aca="false">TEXT(B838,"mmm")</f>
        <v>Aug</v>
      </c>
    </row>
    <row r="839" customFormat="false" ht="15" hidden="false" customHeight="false" outlineLevel="0" collapsed="false">
      <c r="A839" s="11" t="s">
        <v>900</v>
      </c>
      <c r="B839" s="20" t="n">
        <v>45885</v>
      </c>
      <c r="C839" s="11" t="s">
        <v>20</v>
      </c>
      <c r="D839" s="11" t="s">
        <v>37</v>
      </c>
      <c r="E839" s="11" t="s">
        <v>52</v>
      </c>
      <c r="F839" s="11" t="s">
        <v>44</v>
      </c>
      <c r="G839" s="11" t="n">
        <v>19</v>
      </c>
      <c r="H839" s="21" t="n">
        <v>12</v>
      </c>
      <c r="I839" s="21" t="n">
        <v>6</v>
      </c>
      <c r="J839" s="22" t="n">
        <v>0.05</v>
      </c>
      <c r="K839" s="21" t="n">
        <f aca="false">G839*H839*(1-J839)</f>
        <v>216.6</v>
      </c>
      <c r="L839" s="21" t="n">
        <f aca="false">G839*I839</f>
        <v>114</v>
      </c>
      <c r="M839" s="21" t="n">
        <f aca="false">K839-L839</f>
        <v>102.6</v>
      </c>
      <c r="N839" s="11" t="str">
        <f aca="false">TEXT(B839,"mmm")</f>
        <v>Aug</v>
      </c>
    </row>
    <row r="840" customFormat="false" ht="15" hidden="false" customHeight="false" outlineLevel="0" collapsed="false">
      <c r="A840" s="11" t="s">
        <v>901</v>
      </c>
      <c r="B840" s="20" t="n">
        <v>45886</v>
      </c>
      <c r="C840" s="11" t="s">
        <v>20</v>
      </c>
      <c r="D840" s="11" t="s">
        <v>33</v>
      </c>
      <c r="E840" s="11" t="s">
        <v>51</v>
      </c>
      <c r="F840" s="11" t="s">
        <v>44</v>
      </c>
      <c r="G840" s="11" t="n">
        <v>3</v>
      </c>
      <c r="H840" s="21" t="n">
        <v>90</v>
      </c>
      <c r="I840" s="21" t="n">
        <v>58</v>
      </c>
      <c r="J840" s="22" t="n">
        <v>0</v>
      </c>
      <c r="K840" s="21" t="n">
        <f aca="false">G840*H840*(1-J840)</f>
        <v>270</v>
      </c>
      <c r="L840" s="21" t="n">
        <f aca="false">G840*I840</f>
        <v>174</v>
      </c>
      <c r="M840" s="21" t="n">
        <f aca="false">K840-L840</f>
        <v>96</v>
      </c>
      <c r="N840" s="11" t="str">
        <f aca="false">TEXT(B840,"mmm")</f>
        <v>Aug</v>
      </c>
    </row>
    <row r="841" customFormat="false" ht="15" hidden="false" customHeight="false" outlineLevel="0" collapsed="false">
      <c r="A841" s="11" t="s">
        <v>902</v>
      </c>
      <c r="B841" s="20" t="n">
        <v>45886</v>
      </c>
      <c r="C841" s="11" t="s">
        <v>18</v>
      </c>
      <c r="D841" s="11" t="s">
        <v>35</v>
      </c>
      <c r="E841" s="11" t="s">
        <v>56</v>
      </c>
      <c r="F841" s="11" t="s">
        <v>42</v>
      </c>
      <c r="G841" s="11" t="n">
        <v>2</v>
      </c>
      <c r="H841" s="21" t="n">
        <v>110</v>
      </c>
      <c r="I841" s="21" t="n">
        <v>62</v>
      </c>
      <c r="J841" s="22" t="n">
        <v>0.15</v>
      </c>
      <c r="K841" s="21" t="n">
        <f aca="false">G841*H841*(1-J841)</f>
        <v>187</v>
      </c>
      <c r="L841" s="21" t="n">
        <f aca="false">G841*I841</f>
        <v>124</v>
      </c>
      <c r="M841" s="21" t="n">
        <f aca="false">K841-L841</f>
        <v>63</v>
      </c>
      <c r="N841" s="11" t="str">
        <f aca="false">TEXT(B841,"mmm")</f>
        <v>Aug</v>
      </c>
    </row>
    <row r="842" customFormat="false" ht="15" hidden="false" customHeight="false" outlineLevel="0" collapsed="false">
      <c r="A842" s="11" t="s">
        <v>903</v>
      </c>
      <c r="B842" s="20" t="n">
        <v>45886</v>
      </c>
      <c r="C842" s="11" t="s">
        <v>24</v>
      </c>
      <c r="D842" s="11" t="s">
        <v>37</v>
      </c>
      <c r="E842" s="11" t="s">
        <v>52</v>
      </c>
      <c r="F842" s="11" t="s">
        <v>42</v>
      </c>
      <c r="G842" s="11" t="n">
        <v>25</v>
      </c>
      <c r="H842" s="21" t="n">
        <v>12</v>
      </c>
      <c r="I842" s="21" t="n">
        <v>6</v>
      </c>
      <c r="J842" s="22" t="n">
        <v>0.05</v>
      </c>
      <c r="K842" s="21" t="n">
        <f aca="false">G842*H842*(1-J842)</f>
        <v>285</v>
      </c>
      <c r="L842" s="21" t="n">
        <f aca="false">G842*I842</f>
        <v>150</v>
      </c>
      <c r="M842" s="21" t="n">
        <f aca="false">K842-L842</f>
        <v>135</v>
      </c>
      <c r="N842" s="11" t="str">
        <f aca="false">TEXT(B842,"mmm")</f>
        <v>Aug</v>
      </c>
    </row>
    <row r="843" customFormat="false" ht="15" hidden="false" customHeight="false" outlineLevel="0" collapsed="false">
      <c r="A843" s="11" t="s">
        <v>904</v>
      </c>
      <c r="B843" s="20" t="n">
        <v>45887</v>
      </c>
      <c r="C843" s="11" t="s">
        <v>20</v>
      </c>
      <c r="D843" s="11" t="s">
        <v>37</v>
      </c>
      <c r="E843" s="11" t="s">
        <v>49</v>
      </c>
      <c r="F843" s="11" t="s">
        <v>44</v>
      </c>
      <c r="G843" s="11" t="n">
        <v>21</v>
      </c>
      <c r="H843" s="21" t="n">
        <v>28</v>
      </c>
      <c r="I843" s="21" t="n">
        <v>17</v>
      </c>
      <c r="J843" s="22" t="n">
        <v>0.1</v>
      </c>
      <c r="K843" s="21" t="n">
        <f aca="false">G843*H843*(1-J843)</f>
        <v>529.2</v>
      </c>
      <c r="L843" s="21" t="n">
        <f aca="false">G843*I843</f>
        <v>357</v>
      </c>
      <c r="M843" s="21" t="n">
        <f aca="false">K843-L843</f>
        <v>172.2</v>
      </c>
      <c r="N843" s="11" t="str">
        <f aca="false">TEXT(B843,"mmm")</f>
        <v>Aug</v>
      </c>
    </row>
    <row r="844" customFormat="false" ht="15" hidden="false" customHeight="false" outlineLevel="0" collapsed="false">
      <c r="A844" s="11" t="s">
        <v>905</v>
      </c>
      <c r="B844" s="20" t="n">
        <v>45887</v>
      </c>
      <c r="C844" s="11" t="s">
        <v>20</v>
      </c>
      <c r="D844" s="11" t="s">
        <v>37</v>
      </c>
      <c r="E844" s="11" t="s">
        <v>52</v>
      </c>
      <c r="F844" s="11" t="s">
        <v>45</v>
      </c>
      <c r="G844" s="11" t="n">
        <v>30</v>
      </c>
      <c r="H844" s="21" t="n">
        <v>12</v>
      </c>
      <c r="I844" s="21" t="n">
        <v>6</v>
      </c>
      <c r="J844" s="22" t="n">
        <v>0.1</v>
      </c>
      <c r="K844" s="21" t="n">
        <f aca="false">G844*H844*(1-J844)</f>
        <v>324</v>
      </c>
      <c r="L844" s="21" t="n">
        <f aca="false">G844*I844</f>
        <v>180</v>
      </c>
      <c r="M844" s="21" t="n">
        <f aca="false">K844-L844</f>
        <v>144</v>
      </c>
      <c r="N844" s="11" t="str">
        <f aca="false">TEXT(B844,"mmm")</f>
        <v>Aug</v>
      </c>
    </row>
    <row r="845" customFormat="false" ht="15" hidden="false" customHeight="false" outlineLevel="0" collapsed="false">
      <c r="A845" s="11" t="s">
        <v>906</v>
      </c>
      <c r="B845" s="20" t="n">
        <v>45887</v>
      </c>
      <c r="C845" s="11" t="s">
        <v>18</v>
      </c>
      <c r="D845" s="11" t="s">
        <v>37</v>
      </c>
      <c r="E845" s="11" t="s">
        <v>52</v>
      </c>
      <c r="F845" s="11" t="s">
        <v>44</v>
      </c>
      <c r="G845" s="11" t="n">
        <v>9</v>
      </c>
      <c r="H845" s="21" t="n">
        <v>12</v>
      </c>
      <c r="I845" s="21" t="n">
        <v>6</v>
      </c>
      <c r="J845" s="22" t="n">
        <v>0</v>
      </c>
      <c r="K845" s="21" t="n">
        <f aca="false">G845*H845*(1-J845)</f>
        <v>108</v>
      </c>
      <c r="L845" s="21" t="n">
        <f aca="false">G845*I845</f>
        <v>54</v>
      </c>
      <c r="M845" s="21" t="n">
        <f aca="false">K845-L845</f>
        <v>54</v>
      </c>
      <c r="N845" s="11" t="str">
        <f aca="false">TEXT(B845,"mmm")</f>
        <v>Aug</v>
      </c>
    </row>
    <row r="846" customFormat="false" ht="15" hidden="false" customHeight="false" outlineLevel="0" collapsed="false">
      <c r="A846" s="11" t="s">
        <v>907</v>
      </c>
      <c r="B846" s="20" t="n">
        <v>45887</v>
      </c>
      <c r="C846" s="11" t="s">
        <v>22</v>
      </c>
      <c r="D846" s="11" t="s">
        <v>33</v>
      </c>
      <c r="E846" s="11" t="s">
        <v>51</v>
      </c>
      <c r="F846" s="11" t="s">
        <v>44</v>
      </c>
      <c r="G846" s="11" t="n">
        <v>1</v>
      </c>
      <c r="H846" s="21" t="n">
        <v>90</v>
      </c>
      <c r="I846" s="21" t="n">
        <v>58</v>
      </c>
      <c r="J846" s="22" t="n">
        <v>0</v>
      </c>
      <c r="K846" s="21" t="n">
        <f aca="false">G846*H846*(1-J846)</f>
        <v>90</v>
      </c>
      <c r="L846" s="21" t="n">
        <f aca="false">G846*I846</f>
        <v>58</v>
      </c>
      <c r="M846" s="21" t="n">
        <f aca="false">K846-L846</f>
        <v>32</v>
      </c>
      <c r="N846" s="11" t="str">
        <f aca="false">TEXT(B846,"mmm")</f>
        <v>Aug</v>
      </c>
    </row>
    <row r="847" customFormat="false" ht="15" hidden="false" customHeight="false" outlineLevel="0" collapsed="false">
      <c r="A847" s="11" t="s">
        <v>908</v>
      </c>
      <c r="B847" s="20" t="n">
        <v>45888</v>
      </c>
      <c r="C847" s="11" t="s">
        <v>22</v>
      </c>
      <c r="D847" s="11" t="s">
        <v>33</v>
      </c>
      <c r="E847" s="11" t="s">
        <v>51</v>
      </c>
      <c r="F847" s="11" t="s">
        <v>42</v>
      </c>
      <c r="G847" s="11" t="n">
        <v>5</v>
      </c>
      <c r="H847" s="21" t="n">
        <v>90</v>
      </c>
      <c r="I847" s="21" t="n">
        <v>58</v>
      </c>
      <c r="J847" s="22" t="n">
        <v>0.15</v>
      </c>
      <c r="K847" s="21" t="n">
        <f aca="false">G847*H847*(1-J847)</f>
        <v>382.5</v>
      </c>
      <c r="L847" s="21" t="n">
        <f aca="false">G847*I847</f>
        <v>290</v>
      </c>
      <c r="M847" s="21" t="n">
        <f aca="false">K847-L847</f>
        <v>92.5</v>
      </c>
      <c r="N847" s="11" t="str">
        <f aca="false">TEXT(B847,"mmm")</f>
        <v>Aug</v>
      </c>
    </row>
    <row r="848" customFormat="false" ht="15" hidden="false" customHeight="false" outlineLevel="0" collapsed="false">
      <c r="A848" s="11" t="s">
        <v>909</v>
      </c>
      <c r="B848" s="20" t="n">
        <v>45888</v>
      </c>
      <c r="C848" s="11" t="s">
        <v>20</v>
      </c>
      <c r="D848" s="11" t="s">
        <v>37</v>
      </c>
      <c r="E848" s="11" t="s">
        <v>49</v>
      </c>
      <c r="F848" s="11" t="s">
        <v>45</v>
      </c>
      <c r="G848" s="11" t="n">
        <v>120</v>
      </c>
      <c r="H848" s="21" t="n">
        <v>28</v>
      </c>
      <c r="I848" s="21" t="n">
        <v>17</v>
      </c>
      <c r="J848" s="22" t="n">
        <v>0.15</v>
      </c>
      <c r="K848" s="21" t="n">
        <f aca="false">G848*H848*(1-J848)</f>
        <v>2856</v>
      </c>
      <c r="L848" s="21" t="n">
        <f aca="false">G848*I848</f>
        <v>2040</v>
      </c>
      <c r="M848" s="21" t="n">
        <f aca="false">K848-L848</f>
        <v>816</v>
      </c>
      <c r="N848" s="11" t="str">
        <f aca="false">TEXT(B848,"mmm")</f>
        <v>Aug</v>
      </c>
    </row>
    <row r="849" customFormat="false" ht="15" hidden="false" customHeight="false" outlineLevel="0" collapsed="false">
      <c r="A849" s="11" t="s">
        <v>910</v>
      </c>
      <c r="B849" s="20" t="n">
        <v>45888</v>
      </c>
      <c r="C849" s="11" t="s">
        <v>18</v>
      </c>
      <c r="D849" s="11" t="s">
        <v>37</v>
      </c>
      <c r="E849" s="11" t="s">
        <v>53</v>
      </c>
      <c r="F849" s="11" t="s">
        <v>42</v>
      </c>
      <c r="G849" s="11" t="n">
        <v>34</v>
      </c>
      <c r="H849" s="21" t="n">
        <v>9</v>
      </c>
      <c r="I849" s="21" t="n">
        <v>4.5</v>
      </c>
      <c r="J849" s="22" t="n">
        <v>0.15</v>
      </c>
      <c r="K849" s="21" t="n">
        <f aca="false">G849*H849*(1-J849)</f>
        <v>260.1</v>
      </c>
      <c r="L849" s="21" t="n">
        <f aca="false">G849*I849</f>
        <v>153</v>
      </c>
      <c r="M849" s="21" t="n">
        <f aca="false">K849-L849</f>
        <v>107.1</v>
      </c>
      <c r="N849" s="11" t="str">
        <f aca="false">TEXT(B849,"mmm")</f>
        <v>Aug</v>
      </c>
    </row>
    <row r="850" customFormat="false" ht="15" hidden="false" customHeight="false" outlineLevel="0" collapsed="false">
      <c r="A850" s="11" t="s">
        <v>911</v>
      </c>
      <c r="B850" s="20" t="n">
        <v>45888</v>
      </c>
      <c r="C850" s="11" t="s">
        <v>20</v>
      </c>
      <c r="D850" s="11" t="s">
        <v>37</v>
      </c>
      <c r="E850" s="11" t="s">
        <v>52</v>
      </c>
      <c r="F850" s="11" t="s">
        <v>42</v>
      </c>
      <c r="G850" s="11" t="n">
        <v>14</v>
      </c>
      <c r="H850" s="21" t="n">
        <v>12</v>
      </c>
      <c r="I850" s="21" t="n">
        <v>6</v>
      </c>
      <c r="J850" s="22" t="n">
        <v>0.05</v>
      </c>
      <c r="K850" s="21" t="n">
        <f aca="false">G850*H850*(1-J850)</f>
        <v>159.6</v>
      </c>
      <c r="L850" s="21" t="n">
        <f aca="false">G850*I850</f>
        <v>84</v>
      </c>
      <c r="M850" s="21" t="n">
        <f aca="false">K850-L850</f>
        <v>75.6</v>
      </c>
      <c r="N850" s="11" t="str">
        <f aca="false">TEXT(B850,"mmm")</f>
        <v>Aug</v>
      </c>
    </row>
    <row r="851" customFormat="false" ht="15" hidden="false" customHeight="false" outlineLevel="0" collapsed="false">
      <c r="A851" s="11" t="s">
        <v>912</v>
      </c>
      <c r="B851" s="20" t="n">
        <v>45888</v>
      </c>
      <c r="C851" s="11" t="s">
        <v>20</v>
      </c>
      <c r="D851" s="11" t="s">
        <v>35</v>
      </c>
      <c r="E851" s="11" t="s">
        <v>55</v>
      </c>
      <c r="F851" s="11" t="s">
        <v>42</v>
      </c>
      <c r="G851" s="11" t="n">
        <v>1</v>
      </c>
      <c r="H851" s="21" t="n">
        <v>150</v>
      </c>
      <c r="I851" s="21" t="n">
        <v>82</v>
      </c>
      <c r="J851" s="22" t="n">
        <v>0.05</v>
      </c>
      <c r="K851" s="21" t="n">
        <f aca="false">G851*H851*(1-J851)</f>
        <v>142.5</v>
      </c>
      <c r="L851" s="21" t="n">
        <f aca="false">G851*I851</f>
        <v>82</v>
      </c>
      <c r="M851" s="21" t="n">
        <f aca="false">K851-L851</f>
        <v>60.5</v>
      </c>
      <c r="N851" s="11" t="str">
        <f aca="false">TEXT(B851,"mmm")</f>
        <v>Aug</v>
      </c>
    </row>
    <row r="852" customFormat="false" ht="15" hidden="false" customHeight="false" outlineLevel="0" collapsed="false">
      <c r="A852" s="11" t="s">
        <v>913</v>
      </c>
      <c r="B852" s="20" t="n">
        <v>45888</v>
      </c>
      <c r="C852" s="11" t="s">
        <v>18</v>
      </c>
      <c r="D852" s="11" t="s">
        <v>37</v>
      </c>
      <c r="E852" s="11" t="s">
        <v>52</v>
      </c>
      <c r="F852" s="11" t="s">
        <v>45</v>
      </c>
      <c r="G852" s="11" t="n">
        <v>120</v>
      </c>
      <c r="H852" s="21" t="n">
        <v>12</v>
      </c>
      <c r="I852" s="21" t="n">
        <v>6</v>
      </c>
      <c r="J852" s="22" t="n">
        <v>0.1</v>
      </c>
      <c r="K852" s="21" t="n">
        <f aca="false">G852*H852*(1-J852)</f>
        <v>1296</v>
      </c>
      <c r="L852" s="21" t="n">
        <f aca="false">G852*I852</f>
        <v>720</v>
      </c>
      <c r="M852" s="21" t="n">
        <f aca="false">K852-L852</f>
        <v>576</v>
      </c>
      <c r="N852" s="11" t="str">
        <f aca="false">TEXT(B852,"mmm")</f>
        <v>Aug</v>
      </c>
    </row>
    <row r="853" customFormat="false" ht="15" hidden="false" customHeight="false" outlineLevel="0" collapsed="false">
      <c r="A853" s="11" t="s">
        <v>914</v>
      </c>
      <c r="B853" s="20" t="n">
        <v>45888</v>
      </c>
      <c r="C853" s="11" t="s">
        <v>20</v>
      </c>
      <c r="D853" s="11" t="s">
        <v>35</v>
      </c>
      <c r="E853" s="11" t="s">
        <v>55</v>
      </c>
      <c r="F853" s="11" t="s">
        <v>42</v>
      </c>
      <c r="G853" s="11" t="n">
        <v>2</v>
      </c>
      <c r="H853" s="21" t="n">
        <v>150</v>
      </c>
      <c r="I853" s="21" t="n">
        <v>82</v>
      </c>
      <c r="J853" s="22" t="n">
        <v>0.1</v>
      </c>
      <c r="K853" s="21" t="n">
        <f aca="false">G853*H853*(1-J853)</f>
        <v>270</v>
      </c>
      <c r="L853" s="21" t="n">
        <f aca="false">G853*I853</f>
        <v>164</v>
      </c>
      <c r="M853" s="21" t="n">
        <f aca="false">K853-L853</f>
        <v>106</v>
      </c>
      <c r="N853" s="11" t="str">
        <f aca="false">TEXT(B853,"mmm")</f>
        <v>Aug</v>
      </c>
    </row>
    <row r="854" customFormat="false" ht="15" hidden="false" customHeight="false" outlineLevel="0" collapsed="false">
      <c r="A854" s="11" t="s">
        <v>915</v>
      </c>
      <c r="B854" s="20" t="n">
        <v>45888</v>
      </c>
      <c r="C854" s="11" t="s">
        <v>20</v>
      </c>
      <c r="D854" s="11" t="s">
        <v>33</v>
      </c>
      <c r="E854" s="11" t="s">
        <v>48</v>
      </c>
      <c r="F854" s="11" t="s">
        <v>44</v>
      </c>
      <c r="G854" s="11" t="n">
        <v>2</v>
      </c>
      <c r="H854" s="21" t="n">
        <v>520</v>
      </c>
      <c r="I854" s="21" t="n">
        <v>415</v>
      </c>
      <c r="J854" s="22" t="n">
        <v>0</v>
      </c>
      <c r="K854" s="21" t="n">
        <f aca="false">G854*H854*(1-J854)</f>
        <v>1040</v>
      </c>
      <c r="L854" s="21" t="n">
        <f aca="false">G854*I854</f>
        <v>830</v>
      </c>
      <c r="M854" s="21" t="n">
        <f aca="false">K854-L854</f>
        <v>210</v>
      </c>
      <c r="N854" s="11" t="str">
        <f aca="false">TEXT(B854,"mmm")</f>
        <v>Aug</v>
      </c>
    </row>
    <row r="855" customFormat="false" ht="15" hidden="false" customHeight="false" outlineLevel="0" collapsed="false">
      <c r="A855" s="11" t="s">
        <v>916</v>
      </c>
      <c r="B855" s="20" t="n">
        <v>45889</v>
      </c>
      <c r="C855" s="11" t="s">
        <v>24</v>
      </c>
      <c r="D855" s="11" t="s">
        <v>33</v>
      </c>
      <c r="E855" s="11" t="s">
        <v>51</v>
      </c>
      <c r="F855" s="11" t="s">
        <v>44</v>
      </c>
      <c r="G855" s="11" t="n">
        <v>4</v>
      </c>
      <c r="H855" s="21" t="n">
        <v>90</v>
      </c>
      <c r="I855" s="21" t="n">
        <v>58</v>
      </c>
      <c r="J855" s="22" t="n">
        <v>0</v>
      </c>
      <c r="K855" s="21" t="n">
        <f aca="false">G855*H855*(1-J855)</f>
        <v>360</v>
      </c>
      <c r="L855" s="21" t="n">
        <f aca="false">G855*I855</f>
        <v>232</v>
      </c>
      <c r="M855" s="21" t="n">
        <f aca="false">K855-L855</f>
        <v>128</v>
      </c>
      <c r="N855" s="11" t="str">
        <f aca="false">TEXT(B855,"mmm")</f>
        <v>Aug</v>
      </c>
    </row>
    <row r="856" customFormat="false" ht="15" hidden="false" customHeight="false" outlineLevel="0" collapsed="false">
      <c r="A856" s="11" t="s">
        <v>917</v>
      </c>
      <c r="B856" s="20" t="n">
        <v>45889</v>
      </c>
      <c r="C856" s="11" t="s">
        <v>22</v>
      </c>
      <c r="D856" s="11" t="s">
        <v>35</v>
      </c>
      <c r="E856" s="11" t="s">
        <v>55</v>
      </c>
      <c r="F856" s="11" t="s">
        <v>42</v>
      </c>
      <c r="G856" s="11" t="n">
        <v>3</v>
      </c>
      <c r="H856" s="21" t="n">
        <v>150</v>
      </c>
      <c r="I856" s="21" t="n">
        <v>82</v>
      </c>
      <c r="J856" s="22" t="n">
        <v>0.05</v>
      </c>
      <c r="K856" s="21" t="n">
        <f aca="false">G856*H856*(1-J856)</f>
        <v>427.5</v>
      </c>
      <c r="L856" s="21" t="n">
        <f aca="false">G856*I856</f>
        <v>246</v>
      </c>
      <c r="M856" s="21" t="n">
        <f aca="false">K856-L856</f>
        <v>181.5</v>
      </c>
      <c r="N856" s="11" t="str">
        <f aca="false">TEXT(B856,"mmm")</f>
        <v>Aug</v>
      </c>
    </row>
    <row r="857" customFormat="false" ht="15" hidden="false" customHeight="false" outlineLevel="0" collapsed="false">
      <c r="A857" s="11" t="s">
        <v>918</v>
      </c>
      <c r="B857" s="20" t="n">
        <v>45889</v>
      </c>
      <c r="C857" s="11" t="s">
        <v>22</v>
      </c>
      <c r="D857" s="11" t="s">
        <v>37</v>
      </c>
      <c r="E857" s="11" t="s">
        <v>52</v>
      </c>
      <c r="F857" s="11" t="s">
        <v>42</v>
      </c>
      <c r="G857" s="11" t="n">
        <v>2</v>
      </c>
      <c r="H857" s="21" t="n">
        <v>12</v>
      </c>
      <c r="I857" s="21" t="n">
        <v>6</v>
      </c>
      <c r="J857" s="22" t="n">
        <v>0.05</v>
      </c>
      <c r="K857" s="21" t="n">
        <f aca="false">G857*H857*(1-J857)</f>
        <v>22.8</v>
      </c>
      <c r="L857" s="21" t="n">
        <f aca="false">G857*I857</f>
        <v>12</v>
      </c>
      <c r="M857" s="21" t="n">
        <f aca="false">K857-L857</f>
        <v>10.8</v>
      </c>
      <c r="N857" s="11" t="str">
        <f aca="false">TEXT(B857,"mmm")</f>
        <v>Aug</v>
      </c>
    </row>
    <row r="858" customFormat="false" ht="15" hidden="false" customHeight="false" outlineLevel="0" collapsed="false">
      <c r="A858" s="11" t="s">
        <v>919</v>
      </c>
      <c r="B858" s="20" t="n">
        <v>45890</v>
      </c>
      <c r="C858" s="11" t="s">
        <v>18</v>
      </c>
      <c r="D858" s="11" t="s">
        <v>37</v>
      </c>
      <c r="E858" s="11" t="s">
        <v>52</v>
      </c>
      <c r="F858" s="11" t="s">
        <v>42</v>
      </c>
      <c r="G858" s="11" t="n">
        <v>16</v>
      </c>
      <c r="H858" s="21" t="n">
        <v>12</v>
      </c>
      <c r="I858" s="21" t="n">
        <v>6</v>
      </c>
      <c r="J858" s="22" t="n">
        <v>0</v>
      </c>
      <c r="K858" s="21" t="n">
        <f aca="false">G858*H858*(1-J858)</f>
        <v>192</v>
      </c>
      <c r="L858" s="21" t="n">
        <f aca="false">G858*I858</f>
        <v>96</v>
      </c>
      <c r="M858" s="21" t="n">
        <f aca="false">K858-L858</f>
        <v>96</v>
      </c>
      <c r="N858" s="11" t="str">
        <f aca="false">TEXT(B858,"mmm")</f>
        <v>Aug</v>
      </c>
    </row>
    <row r="859" customFormat="false" ht="15" hidden="false" customHeight="false" outlineLevel="0" collapsed="false">
      <c r="A859" s="11" t="s">
        <v>920</v>
      </c>
      <c r="B859" s="20" t="n">
        <v>45890</v>
      </c>
      <c r="C859" s="11" t="s">
        <v>18</v>
      </c>
      <c r="D859" s="11" t="s">
        <v>37</v>
      </c>
      <c r="E859" s="11" t="s">
        <v>49</v>
      </c>
      <c r="F859" s="11" t="s">
        <v>45</v>
      </c>
      <c r="G859" s="11" t="n">
        <v>93</v>
      </c>
      <c r="H859" s="21" t="n">
        <v>28</v>
      </c>
      <c r="I859" s="21" t="n">
        <v>17</v>
      </c>
      <c r="J859" s="22" t="n">
        <v>0.15</v>
      </c>
      <c r="K859" s="21" t="n">
        <f aca="false">G859*H859*(1-J859)</f>
        <v>2213.4</v>
      </c>
      <c r="L859" s="21" t="n">
        <f aca="false">G859*I859</f>
        <v>1581</v>
      </c>
      <c r="M859" s="21" t="n">
        <f aca="false">K859-L859</f>
        <v>632.4</v>
      </c>
      <c r="N859" s="11" t="str">
        <f aca="false">TEXT(B859,"mmm")</f>
        <v>Aug</v>
      </c>
    </row>
    <row r="860" customFormat="false" ht="15" hidden="false" customHeight="false" outlineLevel="0" collapsed="false">
      <c r="A860" s="11" t="s">
        <v>921</v>
      </c>
      <c r="B860" s="20" t="n">
        <v>45890</v>
      </c>
      <c r="C860" s="11" t="s">
        <v>20</v>
      </c>
      <c r="D860" s="11" t="s">
        <v>35</v>
      </c>
      <c r="E860" s="11" t="s">
        <v>54</v>
      </c>
      <c r="F860" s="11" t="s">
        <v>42</v>
      </c>
      <c r="G860" s="11" t="n">
        <v>2</v>
      </c>
      <c r="H860" s="21" t="n">
        <v>320</v>
      </c>
      <c r="I860" s="21" t="n">
        <v>185</v>
      </c>
      <c r="J860" s="22" t="n">
        <v>0.05</v>
      </c>
      <c r="K860" s="21" t="n">
        <f aca="false">G860*H860*(1-J860)</f>
        <v>608</v>
      </c>
      <c r="L860" s="21" t="n">
        <f aca="false">G860*I860</f>
        <v>370</v>
      </c>
      <c r="M860" s="21" t="n">
        <f aca="false">K860-L860</f>
        <v>238</v>
      </c>
      <c r="N860" s="11" t="str">
        <f aca="false">TEXT(B860,"mmm")</f>
        <v>Aug</v>
      </c>
    </row>
    <row r="861" customFormat="false" ht="15" hidden="false" customHeight="false" outlineLevel="0" collapsed="false">
      <c r="A861" s="11" t="s">
        <v>922</v>
      </c>
      <c r="B861" s="20" t="n">
        <v>45890</v>
      </c>
      <c r="C861" s="11" t="s">
        <v>20</v>
      </c>
      <c r="D861" s="11" t="s">
        <v>37</v>
      </c>
      <c r="E861" s="11" t="s">
        <v>53</v>
      </c>
      <c r="F861" s="11" t="s">
        <v>42</v>
      </c>
      <c r="G861" s="11" t="n">
        <v>32</v>
      </c>
      <c r="H861" s="21" t="n">
        <v>9</v>
      </c>
      <c r="I861" s="21" t="n">
        <v>4.5</v>
      </c>
      <c r="J861" s="22" t="n">
        <v>0.1</v>
      </c>
      <c r="K861" s="21" t="n">
        <f aca="false">G861*H861*(1-J861)</f>
        <v>259.2</v>
      </c>
      <c r="L861" s="21" t="n">
        <f aca="false">G861*I861</f>
        <v>144</v>
      </c>
      <c r="M861" s="21" t="n">
        <f aca="false">K861-L861</f>
        <v>115.2</v>
      </c>
      <c r="N861" s="11" t="str">
        <f aca="false">TEXT(B861,"mmm")</f>
        <v>Aug</v>
      </c>
    </row>
    <row r="862" customFormat="false" ht="15" hidden="false" customHeight="false" outlineLevel="0" collapsed="false">
      <c r="A862" s="11" t="s">
        <v>923</v>
      </c>
      <c r="B862" s="20" t="n">
        <v>45890</v>
      </c>
      <c r="C862" s="11" t="s">
        <v>22</v>
      </c>
      <c r="D862" s="11" t="s">
        <v>35</v>
      </c>
      <c r="E862" s="11" t="s">
        <v>54</v>
      </c>
      <c r="F862" s="11" t="s">
        <v>44</v>
      </c>
      <c r="G862" s="11" t="n">
        <v>1</v>
      </c>
      <c r="H862" s="21" t="n">
        <v>320</v>
      </c>
      <c r="I862" s="21" t="n">
        <v>185</v>
      </c>
      <c r="J862" s="22" t="n">
        <v>0</v>
      </c>
      <c r="K862" s="21" t="n">
        <f aca="false">G862*H862*(1-J862)</f>
        <v>320</v>
      </c>
      <c r="L862" s="21" t="n">
        <f aca="false">G862*I862</f>
        <v>185</v>
      </c>
      <c r="M862" s="21" t="n">
        <f aca="false">K862-L862</f>
        <v>135</v>
      </c>
      <c r="N862" s="11" t="str">
        <f aca="false">TEXT(B862,"mmm")</f>
        <v>Aug</v>
      </c>
    </row>
    <row r="863" customFormat="false" ht="15" hidden="false" customHeight="false" outlineLevel="0" collapsed="false">
      <c r="A863" s="11" t="s">
        <v>924</v>
      </c>
      <c r="B863" s="20" t="n">
        <v>45891</v>
      </c>
      <c r="C863" s="11" t="s">
        <v>22</v>
      </c>
      <c r="D863" s="11" t="s">
        <v>33</v>
      </c>
      <c r="E863" s="11" t="s">
        <v>51</v>
      </c>
      <c r="F863" s="11" t="s">
        <v>44</v>
      </c>
      <c r="G863" s="11" t="n">
        <v>2</v>
      </c>
      <c r="H863" s="21" t="n">
        <v>90</v>
      </c>
      <c r="I863" s="21" t="n">
        <v>58</v>
      </c>
      <c r="J863" s="22" t="n">
        <v>0.05</v>
      </c>
      <c r="K863" s="21" t="n">
        <f aca="false">G863*H863*(1-J863)</f>
        <v>171</v>
      </c>
      <c r="L863" s="21" t="n">
        <f aca="false">G863*I863</f>
        <v>116</v>
      </c>
      <c r="M863" s="21" t="n">
        <f aca="false">K863-L863</f>
        <v>55</v>
      </c>
      <c r="N863" s="11" t="str">
        <f aca="false">TEXT(B863,"mmm")</f>
        <v>Aug</v>
      </c>
    </row>
    <row r="864" customFormat="false" ht="15" hidden="false" customHeight="false" outlineLevel="0" collapsed="false">
      <c r="A864" s="11" t="s">
        <v>925</v>
      </c>
      <c r="B864" s="20" t="n">
        <v>45891</v>
      </c>
      <c r="C864" s="11" t="s">
        <v>22</v>
      </c>
      <c r="D864" s="11" t="s">
        <v>33</v>
      </c>
      <c r="E864" s="11" t="s">
        <v>51</v>
      </c>
      <c r="F864" s="11" t="s">
        <v>45</v>
      </c>
      <c r="G864" s="11" t="n">
        <v>18</v>
      </c>
      <c r="H864" s="21" t="n">
        <v>90</v>
      </c>
      <c r="I864" s="21" t="n">
        <v>58</v>
      </c>
      <c r="J864" s="22" t="n">
        <v>0.2</v>
      </c>
      <c r="K864" s="21" t="n">
        <f aca="false">G864*H864*(1-J864)</f>
        <v>1296</v>
      </c>
      <c r="L864" s="21" t="n">
        <f aca="false">G864*I864</f>
        <v>1044</v>
      </c>
      <c r="M864" s="21" t="n">
        <f aca="false">K864-L864</f>
        <v>252</v>
      </c>
      <c r="N864" s="11" t="str">
        <f aca="false">TEXT(B864,"mmm")</f>
        <v>Aug</v>
      </c>
    </row>
    <row r="865" customFormat="false" ht="15" hidden="false" customHeight="false" outlineLevel="0" collapsed="false">
      <c r="A865" s="11" t="s">
        <v>926</v>
      </c>
      <c r="B865" s="20" t="n">
        <v>45891</v>
      </c>
      <c r="C865" s="11" t="s">
        <v>22</v>
      </c>
      <c r="D865" s="11" t="s">
        <v>37</v>
      </c>
      <c r="E865" s="11" t="s">
        <v>49</v>
      </c>
      <c r="F865" s="11" t="s">
        <v>42</v>
      </c>
      <c r="G865" s="11" t="n">
        <v>5</v>
      </c>
      <c r="H865" s="21" t="n">
        <v>28</v>
      </c>
      <c r="I865" s="21" t="n">
        <v>17</v>
      </c>
      <c r="J865" s="22" t="n">
        <v>0</v>
      </c>
      <c r="K865" s="21" t="n">
        <f aca="false">G865*H865*(1-J865)</f>
        <v>140</v>
      </c>
      <c r="L865" s="21" t="n">
        <f aca="false">G865*I865</f>
        <v>85</v>
      </c>
      <c r="M865" s="21" t="n">
        <f aca="false">K865-L865</f>
        <v>55</v>
      </c>
      <c r="N865" s="11" t="str">
        <f aca="false">TEXT(B865,"mmm")</f>
        <v>Aug</v>
      </c>
    </row>
    <row r="866" customFormat="false" ht="15" hidden="false" customHeight="false" outlineLevel="0" collapsed="false">
      <c r="A866" s="11" t="s">
        <v>927</v>
      </c>
      <c r="B866" s="20" t="n">
        <v>45891</v>
      </c>
      <c r="C866" s="11" t="s">
        <v>22</v>
      </c>
      <c r="D866" s="11" t="s">
        <v>35</v>
      </c>
      <c r="E866" s="11" t="s">
        <v>55</v>
      </c>
      <c r="F866" s="11" t="s">
        <v>45</v>
      </c>
      <c r="G866" s="11" t="n">
        <v>4</v>
      </c>
      <c r="H866" s="21" t="n">
        <v>150</v>
      </c>
      <c r="I866" s="21" t="n">
        <v>82</v>
      </c>
      <c r="J866" s="22" t="n">
        <v>0.15</v>
      </c>
      <c r="K866" s="21" t="n">
        <f aca="false">G866*H866*(1-J866)</f>
        <v>510</v>
      </c>
      <c r="L866" s="21" t="n">
        <f aca="false">G866*I866</f>
        <v>328</v>
      </c>
      <c r="M866" s="21" t="n">
        <f aca="false">K866-L866</f>
        <v>182</v>
      </c>
      <c r="N866" s="11" t="str">
        <f aca="false">TEXT(B866,"mmm")</f>
        <v>Aug</v>
      </c>
    </row>
    <row r="867" customFormat="false" ht="15" hidden="false" customHeight="false" outlineLevel="0" collapsed="false">
      <c r="A867" s="11" t="s">
        <v>928</v>
      </c>
      <c r="B867" s="20" t="n">
        <v>45892</v>
      </c>
      <c r="C867" s="11" t="s">
        <v>22</v>
      </c>
      <c r="D867" s="11" t="s">
        <v>37</v>
      </c>
      <c r="E867" s="11" t="s">
        <v>49</v>
      </c>
      <c r="F867" s="11" t="s">
        <v>42</v>
      </c>
      <c r="G867" s="11" t="n">
        <v>16</v>
      </c>
      <c r="H867" s="21" t="n">
        <v>28</v>
      </c>
      <c r="I867" s="21" t="n">
        <v>17</v>
      </c>
      <c r="J867" s="22" t="n">
        <v>0.05</v>
      </c>
      <c r="K867" s="21" t="n">
        <f aca="false">G867*H867*(1-J867)</f>
        <v>425.6</v>
      </c>
      <c r="L867" s="21" t="n">
        <f aca="false">G867*I867</f>
        <v>272</v>
      </c>
      <c r="M867" s="21" t="n">
        <f aca="false">K867-L867</f>
        <v>153.6</v>
      </c>
      <c r="N867" s="11" t="str">
        <f aca="false">TEXT(B867,"mmm")</f>
        <v>Aug</v>
      </c>
    </row>
    <row r="868" customFormat="false" ht="15" hidden="false" customHeight="false" outlineLevel="0" collapsed="false">
      <c r="A868" s="11" t="s">
        <v>929</v>
      </c>
      <c r="B868" s="20" t="n">
        <v>45892</v>
      </c>
      <c r="C868" s="11" t="s">
        <v>22</v>
      </c>
      <c r="D868" s="11" t="s">
        <v>33</v>
      </c>
      <c r="E868" s="11" t="s">
        <v>51</v>
      </c>
      <c r="F868" s="11" t="s">
        <v>42</v>
      </c>
      <c r="G868" s="11" t="n">
        <v>6</v>
      </c>
      <c r="H868" s="21" t="n">
        <v>90</v>
      </c>
      <c r="I868" s="21" t="n">
        <v>58</v>
      </c>
      <c r="J868" s="22" t="n">
        <v>0</v>
      </c>
      <c r="K868" s="21" t="n">
        <f aca="false">G868*H868*(1-J868)</f>
        <v>540</v>
      </c>
      <c r="L868" s="21" t="n">
        <f aca="false">G868*I868</f>
        <v>348</v>
      </c>
      <c r="M868" s="21" t="n">
        <f aca="false">K868-L868</f>
        <v>192</v>
      </c>
      <c r="N868" s="11" t="str">
        <f aca="false">TEXT(B868,"mmm")</f>
        <v>Aug</v>
      </c>
    </row>
    <row r="869" customFormat="false" ht="15" hidden="false" customHeight="false" outlineLevel="0" collapsed="false">
      <c r="A869" s="11" t="s">
        <v>930</v>
      </c>
      <c r="B869" s="20" t="n">
        <v>45892</v>
      </c>
      <c r="C869" s="11" t="s">
        <v>24</v>
      </c>
      <c r="D869" s="11" t="s">
        <v>37</v>
      </c>
      <c r="E869" s="11" t="s">
        <v>49</v>
      </c>
      <c r="F869" s="11" t="s">
        <v>44</v>
      </c>
      <c r="G869" s="11" t="n">
        <v>36</v>
      </c>
      <c r="H869" s="21" t="n">
        <v>28</v>
      </c>
      <c r="I869" s="21" t="n">
        <v>17</v>
      </c>
      <c r="J869" s="22" t="n">
        <v>0.05</v>
      </c>
      <c r="K869" s="21" t="n">
        <f aca="false">G869*H869*(1-J869)</f>
        <v>957.6</v>
      </c>
      <c r="L869" s="21" t="n">
        <f aca="false">G869*I869</f>
        <v>612</v>
      </c>
      <c r="M869" s="21" t="n">
        <f aca="false">K869-L869</f>
        <v>345.6</v>
      </c>
      <c r="N869" s="11" t="str">
        <f aca="false">TEXT(B869,"mmm")</f>
        <v>Aug</v>
      </c>
    </row>
    <row r="870" customFormat="false" ht="15" hidden="false" customHeight="false" outlineLevel="0" collapsed="false">
      <c r="A870" s="11" t="s">
        <v>931</v>
      </c>
      <c r="B870" s="20" t="n">
        <v>45893</v>
      </c>
      <c r="C870" s="11" t="s">
        <v>18</v>
      </c>
      <c r="D870" s="11" t="s">
        <v>37</v>
      </c>
      <c r="E870" s="11" t="s">
        <v>53</v>
      </c>
      <c r="F870" s="11" t="s">
        <v>42</v>
      </c>
      <c r="G870" s="11" t="n">
        <v>2</v>
      </c>
      <c r="H870" s="21" t="n">
        <v>9</v>
      </c>
      <c r="I870" s="21" t="n">
        <v>4.5</v>
      </c>
      <c r="J870" s="22" t="n">
        <v>0.1</v>
      </c>
      <c r="K870" s="21" t="n">
        <f aca="false">G870*H870*(1-J870)</f>
        <v>16.2</v>
      </c>
      <c r="L870" s="21" t="n">
        <f aca="false">G870*I870</f>
        <v>9</v>
      </c>
      <c r="M870" s="21" t="n">
        <f aca="false">K870-L870</f>
        <v>7.2</v>
      </c>
      <c r="N870" s="11" t="str">
        <f aca="false">TEXT(B870,"mmm")</f>
        <v>Aug</v>
      </c>
    </row>
    <row r="871" customFormat="false" ht="15" hidden="false" customHeight="false" outlineLevel="0" collapsed="false">
      <c r="A871" s="11" t="s">
        <v>932</v>
      </c>
      <c r="B871" s="20" t="n">
        <v>45894</v>
      </c>
      <c r="C871" s="11" t="s">
        <v>24</v>
      </c>
      <c r="D871" s="11" t="s">
        <v>37</v>
      </c>
      <c r="E871" s="11" t="s">
        <v>52</v>
      </c>
      <c r="F871" s="11" t="s">
        <v>42</v>
      </c>
      <c r="G871" s="11" t="n">
        <v>29</v>
      </c>
      <c r="H871" s="21" t="n">
        <v>12</v>
      </c>
      <c r="I871" s="21" t="n">
        <v>6</v>
      </c>
      <c r="J871" s="22" t="n">
        <v>0</v>
      </c>
      <c r="K871" s="21" t="n">
        <f aca="false">G871*H871*(1-J871)</f>
        <v>348</v>
      </c>
      <c r="L871" s="21" t="n">
        <f aca="false">G871*I871</f>
        <v>174</v>
      </c>
      <c r="M871" s="21" t="n">
        <f aca="false">K871-L871</f>
        <v>174</v>
      </c>
      <c r="N871" s="11" t="str">
        <f aca="false">TEXT(B871,"mmm")</f>
        <v>Aug</v>
      </c>
    </row>
    <row r="872" customFormat="false" ht="15" hidden="false" customHeight="false" outlineLevel="0" collapsed="false">
      <c r="A872" s="11" t="s">
        <v>933</v>
      </c>
      <c r="B872" s="20" t="n">
        <v>45894</v>
      </c>
      <c r="C872" s="11" t="s">
        <v>20</v>
      </c>
      <c r="D872" s="11" t="s">
        <v>33</v>
      </c>
      <c r="E872" s="11" t="s">
        <v>48</v>
      </c>
      <c r="F872" s="11" t="s">
        <v>44</v>
      </c>
      <c r="G872" s="11" t="n">
        <v>2</v>
      </c>
      <c r="H872" s="21" t="n">
        <v>520</v>
      </c>
      <c r="I872" s="21" t="n">
        <v>415</v>
      </c>
      <c r="J872" s="22" t="n">
        <v>0</v>
      </c>
      <c r="K872" s="21" t="n">
        <f aca="false">G872*H872*(1-J872)</f>
        <v>1040</v>
      </c>
      <c r="L872" s="21" t="n">
        <f aca="false">G872*I872</f>
        <v>830</v>
      </c>
      <c r="M872" s="21" t="n">
        <f aca="false">K872-L872</f>
        <v>210</v>
      </c>
      <c r="N872" s="11" t="str">
        <f aca="false">TEXT(B872,"mmm")</f>
        <v>Aug</v>
      </c>
    </row>
    <row r="873" customFormat="false" ht="15" hidden="false" customHeight="false" outlineLevel="0" collapsed="false">
      <c r="A873" s="11" t="s">
        <v>934</v>
      </c>
      <c r="B873" s="20" t="n">
        <v>45894</v>
      </c>
      <c r="C873" s="11" t="s">
        <v>24</v>
      </c>
      <c r="D873" s="11" t="s">
        <v>37</v>
      </c>
      <c r="E873" s="11" t="s">
        <v>52</v>
      </c>
      <c r="F873" s="11" t="s">
        <v>44</v>
      </c>
      <c r="G873" s="11" t="n">
        <v>8</v>
      </c>
      <c r="H873" s="21" t="n">
        <v>12</v>
      </c>
      <c r="I873" s="21" t="n">
        <v>6</v>
      </c>
      <c r="J873" s="22" t="n">
        <v>0</v>
      </c>
      <c r="K873" s="21" t="n">
        <f aca="false">G873*H873*(1-J873)</f>
        <v>96</v>
      </c>
      <c r="L873" s="21" t="n">
        <f aca="false">G873*I873</f>
        <v>48</v>
      </c>
      <c r="M873" s="21" t="n">
        <f aca="false">K873-L873</f>
        <v>48</v>
      </c>
      <c r="N873" s="11" t="str">
        <f aca="false">TEXT(B873,"mmm")</f>
        <v>Aug</v>
      </c>
    </row>
    <row r="874" customFormat="false" ht="15" hidden="false" customHeight="false" outlineLevel="0" collapsed="false">
      <c r="A874" s="11" t="s">
        <v>935</v>
      </c>
      <c r="B874" s="20" t="n">
        <v>45895</v>
      </c>
      <c r="C874" s="11" t="s">
        <v>20</v>
      </c>
      <c r="D874" s="11" t="s">
        <v>37</v>
      </c>
      <c r="E874" s="11" t="s">
        <v>52</v>
      </c>
      <c r="F874" s="11" t="s">
        <v>44</v>
      </c>
      <c r="G874" s="11" t="n">
        <v>13</v>
      </c>
      <c r="H874" s="21" t="n">
        <v>12</v>
      </c>
      <c r="I874" s="21" t="n">
        <v>6</v>
      </c>
      <c r="J874" s="22" t="n">
        <v>0</v>
      </c>
      <c r="K874" s="21" t="n">
        <f aca="false">G874*H874*(1-J874)</f>
        <v>156</v>
      </c>
      <c r="L874" s="21" t="n">
        <f aca="false">G874*I874</f>
        <v>78</v>
      </c>
      <c r="M874" s="21" t="n">
        <f aca="false">K874-L874</f>
        <v>78</v>
      </c>
      <c r="N874" s="11" t="str">
        <f aca="false">TEXT(B874,"mmm")</f>
        <v>Aug</v>
      </c>
    </row>
    <row r="875" customFormat="false" ht="15" hidden="false" customHeight="false" outlineLevel="0" collapsed="false">
      <c r="A875" s="11" t="s">
        <v>936</v>
      </c>
      <c r="B875" s="20" t="n">
        <v>45895</v>
      </c>
      <c r="C875" s="11" t="s">
        <v>22</v>
      </c>
      <c r="D875" s="11" t="s">
        <v>37</v>
      </c>
      <c r="E875" s="11" t="s">
        <v>53</v>
      </c>
      <c r="F875" s="11" t="s">
        <v>42</v>
      </c>
      <c r="G875" s="11" t="n">
        <v>37</v>
      </c>
      <c r="H875" s="21" t="n">
        <v>9</v>
      </c>
      <c r="I875" s="21" t="n">
        <v>4.5</v>
      </c>
      <c r="J875" s="22" t="n">
        <v>0.1</v>
      </c>
      <c r="K875" s="21" t="n">
        <f aca="false">G875*H875*(1-J875)</f>
        <v>299.7</v>
      </c>
      <c r="L875" s="21" t="n">
        <f aca="false">G875*I875</f>
        <v>166.5</v>
      </c>
      <c r="M875" s="21" t="n">
        <f aca="false">K875-L875</f>
        <v>133.2</v>
      </c>
      <c r="N875" s="11" t="str">
        <f aca="false">TEXT(B875,"mmm")</f>
        <v>Aug</v>
      </c>
    </row>
    <row r="876" customFormat="false" ht="15" hidden="false" customHeight="false" outlineLevel="0" collapsed="false">
      <c r="A876" s="11" t="s">
        <v>937</v>
      </c>
      <c r="B876" s="20" t="n">
        <v>45895</v>
      </c>
      <c r="C876" s="11" t="s">
        <v>18</v>
      </c>
      <c r="D876" s="11" t="s">
        <v>35</v>
      </c>
      <c r="E876" s="11" t="s">
        <v>54</v>
      </c>
      <c r="F876" s="11" t="s">
        <v>42</v>
      </c>
      <c r="G876" s="11" t="n">
        <v>1</v>
      </c>
      <c r="H876" s="21" t="n">
        <v>320</v>
      </c>
      <c r="I876" s="21" t="n">
        <v>185</v>
      </c>
      <c r="J876" s="22" t="n">
        <v>0.05</v>
      </c>
      <c r="K876" s="21" t="n">
        <f aca="false">G876*H876*(1-J876)</f>
        <v>304</v>
      </c>
      <c r="L876" s="21" t="n">
        <f aca="false">G876*I876</f>
        <v>185</v>
      </c>
      <c r="M876" s="21" t="n">
        <f aca="false">K876-L876</f>
        <v>119</v>
      </c>
      <c r="N876" s="11" t="str">
        <f aca="false">TEXT(B876,"mmm")</f>
        <v>Aug</v>
      </c>
    </row>
    <row r="877" customFormat="false" ht="15" hidden="false" customHeight="false" outlineLevel="0" collapsed="false">
      <c r="A877" s="11" t="s">
        <v>938</v>
      </c>
      <c r="B877" s="20" t="n">
        <v>45895</v>
      </c>
      <c r="C877" s="11" t="s">
        <v>18</v>
      </c>
      <c r="D877" s="11" t="s">
        <v>35</v>
      </c>
      <c r="E877" s="11" t="s">
        <v>54</v>
      </c>
      <c r="F877" s="11" t="s">
        <v>42</v>
      </c>
      <c r="G877" s="11" t="n">
        <v>1</v>
      </c>
      <c r="H877" s="21" t="n">
        <v>320</v>
      </c>
      <c r="I877" s="21" t="n">
        <v>185</v>
      </c>
      <c r="J877" s="22" t="n">
        <v>0.05</v>
      </c>
      <c r="K877" s="21" t="n">
        <f aca="false">G877*H877*(1-J877)</f>
        <v>304</v>
      </c>
      <c r="L877" s="21" t="n">
        <f aca="false">G877*I877</f>
        <v>185</v>
      </c>
      <c r="M877" s="21" t="n">
        <f aca="false">K877-L877</f>
        <v>119</v>
      </c>
      <c r="N877" s="11" t="str">
        <f aca="false">TEXT(B877,"mmm")</f>
        <v>Aug</v>
      </c>
    </row>
    <row r="878" customFormat="false" ht="15" hidden="false" customHeight="false" outlineLevel="0" collapsed="false">
      <c r="A878" s="11" t="s">
        <v>939</v>
      </c>
      <c r="B878" s="20" t="n">
        <v>45895</v>
      </c>
      <c r="C878" s="11" t="s">
        <v>20</v>
      </c>
      <c r="D878" s="11" t="s">
        <v>33</v>
      </c>
      <c r="E878" s="11" t="s">
        <v>51</v>
      </c>
      <c r="F878" s="11" t="s">
        <v>44</v>
      </c>
      <c r="G878" s="11" t="n">
        <v>3</v>
      </c>
      <c r="H878" s="21" t="n">
        <v>90</v>
      </c>
      <c r="I878" s="21" t="n">
        <v>58</v>
      </c>
      <c r="J878" s="22" t="n">
        <v>0.1</v>
      </c>
      <c r="K878" s="21" t="n">
        <f aca="false">G878*H878*(1-J878)</f>
        <v>243</v>
      </c>
      <c r="L878" s="21" t="n">
        <f aca="false">G878*I878</f>
        <v>174</v>
      </c>
      <c r="M878" s="21" t="n">
        <f aca="false">K878-L878</f>
        <v>69</v>
      </c>
      <c r="N878" s="11" t="str">
        <f aca="false">TEXT(B878,"mmm")</f>
        <v>Aug</v>
      </c>
    </row>
    <row r="879" customFormat="false" ht="15" hidden="false" customHeight="false" outlineLevel="0" collapsed="false">
      <c r="A879" s="11" t="s">
        <v>940</v>
      </c>
      <c r="B879" s="20" t="n">
        <v>45895</v>
      </c>
      <c r="C879" s="11" t="s">
        <v>24</v>
      </c>
      <c r="D879" s="11" t="s">
        <v>33</v>
      </c>
      <c r="E879" s="11" t="s">
        <v>50</v>
      </c>
      <c r="F879" s="11" t="s">
        <v>42</v>
      </c>
      <c r="G879" s="11" t="n">
        <v>3</v>
      </c>
      <c r="H879" s="21" t="n">
        <v>780</v>
      </c>
      <c r="I879" s="21" t="n">
        <v>600</v>
      </c>
      <c r="J879" s="22" t="n">
        <v>0.1</v>
      </c>
      <c r="K879" s="21" t="n">
        <f aca="false">G879*H879*(1-J879)</f>
        <v>2106</v>
      </c>
      <c r="L879" s="21" t="n">
        <f aca="false">G879*I879</f>
        <v>1800</v>
      </c>
      <c r="M879" s="21" t="n">
        <f aca="false">K879-L879</f>
        <v>306</v>
      </c>
      <c r="N879" s="11" t="str">
        <f aca="false">TEXT(B879,"mmm")</f>
        <v>Aug</v>
      </c>
    </row>
    <row r="880" customFormat="false" ht="15" hidden="false" customHeight="false" outlineLevel="0" collapsed="false">
      <c r="A880" s="11" t="s">
        <v>941</v>
      </c>
      <c r="B880" s="20" t="n">
        <v>45896</v>
      </c>
      <c r="C880" s="11" t="s">
        <v>20</v>
      </c>
      <c r="D880" s="11" t="s">
        <v>37</v>
      </c>
      <c r="E880" s="11" t="s">
        <v>52</v>
      </c>
      <c r="F880" s="11" t="s">
        <v>44</v>
      </c>
      <c r="G880" s="11" t="n">
        <v>8</v>
      </c>
      <c r="H880" s="21" t="n">
        <v>12</v>
      </c>
      <c r="I880" s="21" t="n">
        <v>6</v>
      </c>
      <c r="J880" s="22" t="n">
        <v>0</v>
      </c>
      <c r="K880" s="21" t="n">
        <f aca="false">G880*H880*(1-J880)</f>
        <v>96</v>
      </c>
      <c r="L880" s="21" t="n">
        <f aca="false">G880*I880</f>
        <v>48</v>
      </c>
      <c r="M880" s="21" t="n">
        <f aca="false">K880-L880</f>
        <v>48</v>
      </c>
      <c r="N880" s="11" t="str">
        <f aca="false">TEXT(B880,"mmm")</f>
        <v>Aug</v>
      </c>
    </row>
    <row r="881" customFormat="false" ht="15" hidden="false" customHeight="false" outlineLevel="0" collapsed="false">
      <c r="A881" s="11" t="s">
        <v>942</v>
      </c>
      <c r="B881" s="20" t="n">
        <v>45896</v>
      </c>
      <c r="C881" s="11" t="s">
        <v>20</v>
      </c>
      <c r="D881" s="11" t="s">
        <v>37</v>
      </c>
      <c r="E881" s="11" t="s">
        <v>49</v>
      </c>
      <c r="F881" s="11" t="s">
        <v>42</v>
      </c>
      <c r="G881" s="11" t="n">
        <v>5</v>
      </c>
      <c r="H881" s="21" t="n">
        <v>28</v>
      </c>
      <c r="I881" s="21" t="n">
        <v>17</v>
      </c>
      <c r="J881" s="22" t="n">
        <v>0</v>
      </c>
      <c r="K881" s="21" t="n">
        <f aca="false">G881*H881*(1-J881)</f>
        <v>140</v>
      </c>
      <c r="L881" s="21" t="n">
        <f aca="false">G881*I881</f>
        <v>85</v>
      </c>
      <c r="M881" s="21" t="n">
        <f aca="false">K881-L881</f>
        <v>55</v>
      </c>
      <c r="N881" s="11" t="str">
        <f aca="false">TEXT(B881,"mmm")</f>
        <v>Aug</v>
      </c>
    </row>
    <row r="882" customFormat="false" ht="15" hidden="false" customHeight="false" outlineLevel="0" collapsed="false">
      <c r="A882" s="11" t="s">
        <v>943</v>
      </c>
      <c r="B882" s="20" t="n">
        <v>45896</v>
      </c>
      <c r="C882" s="11" t="s">
        <v>18</v>
      </c>
      <c r="D882" s="11" t="s">
        <v>33</v>
      </c>
      <c r="E882" s="11" t="s">
        <v>51</v>
      </c>
      <c r="F882" s="11" t="s">
        <v>42</v>
      </c>
      <c r="G882" s="11" t="n">
        <v>4</v>
      </c>
      <c r="H882" s="21" t="n">
        <v>90</v>
      </c>
      <c r="I882" s="21" t="n">
        <v>58</v>
      </c>
      <c r="J882" s="22" t="n">
        <v>0.05</v>
      </c>
      <c r="K882" s="21" t="n">
        <f aca="false">G882*H882*(1-J882)</f>
        <v>342</v>
      </c>
      <c r="L882" s="21" t="n">
        <f aca="false">G882*I882</f>
        <v>232</v>
      </c>
      <c r="M882" s="21" t="n">
        <f aca="false">K882-L882</f>
        <v>110</v>
      </c>
      <c r="N882" s="11" t="str">
        <f aca="false">TEXT(B882,"mmm")</f>
        <v>Aug</v>
      </c>
    </row>
    <row r="883" customFormat="false" ht="15" hidden="false" customHeight="false" outlineLevel="0" collapsed="false">
      <c r="A883" s="11" t="s">
        <v>944</v>
      </c>
      <c r="B883" s="20" t="n">
        <v>45896</v>
      </c>
      <c r="C883" s="11" t="s">
        <v>20</v>
      </c>
      <c r="D883" s="11" t="s">
        <v>33</v>
      </c>
      <c r="E883" s="11" t="s">
        <v>48</v>
      </c>
      <c r="F883" s="11" t="s">
        <v>44</v>
      </c>
      <c r="G883" s="11" t="n">
        <v>1</v>
      </c>
      <c r="H883" s="21" t="n">
        <v>520</v>
      </c>
      <c r="I883" s="21" t="n">
        <v>415</v>
      </c>
      <c r="J883" s="22" t="n">
        <v>0</v>
      </c>
      <c r="K883" s="21" t="n">
        <f aca="false">G883*H883*(1-J883)</f>
        <v>520</v>
      </c>
      <c r="L883" s="21" t="n">
        <f aca="false">G883*I883</f>
        <v>415</v>
      </c>
      <c r="M883" s="21" t="n">
        <f aca="false">K883-L883</f>
        <v>105</v>
      </c>
      <c r="N883" s="11" t="str">
        <f aca="false">TEXT(B883,"mmm")</f>
        <v>Aug</v>
      </c>
    </row>
    <row r="884" customFormat="false" ht="15" hidden="false" customHeight="false" outlineLevel="0" collapsed="false">
      <c r="A884" s="11" t="s">
        <v>945</v>
      </c>
      <c r="B884" s="20" t="n">
        <v>45897</v>
      </c>
      <c r="C884" s="11" t="s">
        <v>24</v>
      </c>
      <c r="D884" s="11" t="s">
        <v>33</v>
      </c>
      <c r="E884" s="11" t="s">
        <v>51</v>
      </c>
      <c r="F884" s="11" t="s">
        <v>44</v>
      </c>
      <c r="G884" s="11" t="n">
        <v>3</v>
      </c>
      <c r="H884" s="21" t="n">
        <v>90</v>
      </c>
      <c r="I884" s="21" t="n">
        <v>58</v>
      </c>
      <c r="J884" s="22" t="n">
        <v>0</v>
      </c>
      <c r="K884" s="21" t="n">
        <f aca="false">G884*H884*(1-J884)</f>
        <v>270</v>
      </c>
      <c r="L884" s="21" t="n">
        <f aca="false">G884*I884</f>
        <v>174</v>
      </c>
      <c r="M884" s="21" t="n">
        <f aca="false">K884-L884</f>
        <v>96</v>
      </c>
      <c r="N884" s="11" t="str">
        <f aca="false">TEXT(B884,"mmm")</f>
        <v>Aug</v>
      </c>
    </row>
    <row r="885" customFormat="false" ht="15" hidden="false" customHeight="false" outlineLevel="0" collapsed="false">
      <c r="A885" s="11" t="s">
        <v>946</v>
      </c>
      <c r="B885" s="20" t="n">
        <v>45897</v>
      </c>
      <c r="C885" s="11" t="s">
        <v>18</v>
      </c>
      <c r="D885" s="11" t="s">
        <v>37</v>
      </c>
      <c r="E885" s="11" t="s">
        <v>49</v>
      </c>
      <c r="F885" s="11" t="s">
        <v>44</v>
      </c>
      <c r="G885" s="11" t="n">
        <v>27</v>
      </c>
      <c r="H885" s="21" t="n">
        <v>28</v>
      </c>
      <c r="I885" s="21" t="n">
        <v>17</v>
      </c>
      <c r="J885" s="22" t="n">
        <v>0</v>
      </c>
      <c r="K885" s="21" t="n">
        <f aca="false">G885*H885*(1-J885)</f>
        <v>756</v>
      </c>
      <c r="L885" s="21" t="n">
        <f aca="false">G885*I885</f>
        <v>459</v>
      </c>
      <c r="M885" s="21" t="n">
        <f aca="false">K885-L885</f>
        <v>297</v>
      </c>
      <c r="N885" s="11" t="str">
        <f aca="false">TEXT(B885,"mmm")</f>
        <v>Aug</v>
      </c>
    </row>
    <row r="886" customFormat="false" ht="15" hidden="false" customHeight="false" outlineLevel="0" collapsed="false">
      <c r="A886" s="11" t="s">
        <v>947</v>
      </c>
      <c r="B886" s="20" t="n">
        <v>45897</v>
      </c>
      <c r="C886" s="11" t="s">
        <v>20</v>
      </c>
      <c r="D886" s="11" t="s">
        <v>37</v>
      </c>
      <c r="E886" s="11" t="s">
        <v>53</v>
      </c>
      <c r="F886" s="11" t="s">
        <v>42</v>
      </c>
      <c r="G886" s="11" t="n">
        <v>10</v>
      </c>
      <c r="H886" s="21" t="n">
        <v>9</v>
      </c>
      <c r="I886" s="21" t="n">
        <v>4.5</v>
      </c>
      <c r="J886" s="22" t="n">
        <v>0.05</v>
      </c>
      <c r="K886" s="21" t="n">
        <f aca="false">G886*H886*(1-J886)</f>
        <v>85.5</v>
      </c>
      <c r="L886" s="21" t="n">
        <f aca="false">G886*I886</f>
        <v>45</v>
      </c>
      <c r="M886" s="21" t="n">
        <f aca="false">K886-L886</f>
        <v>40.5</v>
      </c>
      <c r="N886" s="11" t="str">
        <f aca="false">TEXT(B886,"mmm")</f>
        <v>Aug</v>
      </c>
    </row>
    <row r="887" customFormat="false" ht="15" hidden="false" customHeight="false" outlineLevel="0" collapsed="false">
      <c r="A887" s="11" t="s">
        <v>948</v>
      </c>
      <c r="B887" s="20" t="n">
        <v>45901</v>
      </c>
      <c r="C887" s="11" t="s">
        <v>22</v>
      </c>
      <c r="D887" s="11" t="s">
        <v>33</v>
      </c>
      <c r="E887" s="11" t="s">
        <v>48</v>
      </c>
      <c r="F887" s="11" t="s">
        <v>42</v>
      </c>
      <c r="G887" s="11" t="n">
        <v>1</v>
      </c>
      <c r="H887" s="21" t="n">
        <v>520</v>
      </c>
      <c r="I887" s="21" t="n">
        <v>415</v>
      </c>
      <c r="J887" s="22" t="n">
        <v>0.1</v>
      </c>
      <c r="K887" s="21" t="n">
        <f aca="false">G887*H887*(1-J887)</f>
        <v>468</v>
      </c>
      <c r="L887" s="21" t="n">
        <f aca="false">G887*I887</f>
        <v>415</v>
      </c>
      <c r="M887" s="21" t="n">
        <f aca="false">K887-L887</f>
        <v>53</v>
      </c>
      <c r="N887" s="11" t="str">
        <f aca="false">TEXT(B887,"mmm")</f>
        <v>Sep</v>
      </c>
    </row>
    <row r="888" customFormat="false" ht="15" hidden="false" customHeight="false" outlineLevel="0" collapsed="false">
      <c r="A888" s="11" t="s">
        <v>949</v>
      </c>
      <c r="B888" s="20" t="n">
        <v>45901</v>
      </c>
      <c r="C888" s="11" t="s">
        <v>18</v>
      </c>
      <c r="D888" s="11" t="s">
        <v>37</v>
      </c>
      <c r="E888" s="11" t="s">
        <v>53</v>
      </c>
      <c r="F888" s="11" t="s">
        <v>42</v>
      </c>
      <c r="G888" s="11" t="n">
        <v>37</v>
      </c>
      <c r="H888" s="21" t="n">
        <v>9</v>
      </c>
      <c r="I888" s="21" t="n">
        <v>4.5</v>
      </c>
      <c r="J888" s="22" t="n">
        <v>0</v>
      </c>
      <c r="K888" s="21" t="n">
        <f aca="false">G888*H888*(1-J888)</f>
        <v>333</v>
      </c>
      <c r="L888" s="21" t="n">
        <f aca="false">G888*I888</f>
        <v>166.5</v>
      </c>
      <c r="M888" s="21" t="n">
        <f aca="false">K888-L888</f>
        <v>166.5</v>
      </c>
      <c r="N888" s="11" t="str">
        <f aca="false">TEXT(B888,"mmm")</f>
        <v>Sep</v>
      </c>
    </row>
    <row r="889" customFormat="false" ht="15" hidden="false" customHeight="false" outlineLevel="0" collapsed="false">
      <c r="A889" s="11" t="s">
        <v>950</v>
      </c>
      <c r="B889" s="20" t="n">
        <v>45901</v>
      </c>
      <c r="C889" s="11" t="s">
        <v>24</v>
      </c>
      <c r="D889" s="11" t="s">
        <v>33</v>
      </c>
      <c r="E889" s="11" t="s">
        <v>50</v>
      </c>
      <c r="F889" s="11" t="s">
        <v>44</v>
      </c>
      <c r="G889" s="11" t="n">
        <v>2</v>
      </c>
      <c r="H889" s="21" t="n">
        <v>780</v>
      </c>
      <c r="I889" s="21" t="n">
        <v>600</v>
      </c>
      <c r="J889" s="22" t="n">
        <v>0.05</v>
      </c>
      <c r="K889" s="21" t="n">
        <f aca="false">G889*H889*(1-J889)</f>
        <v>1482</v>
      </c>
      <c r="L889" s="21" t="n">
        <f aca="false">G889*I889</f>
        <v>1200</v>
      </c>
      <c r="M889" s="21" t="n">
        <f aca="false">K889-L889</f>
        <v>282</v>
      </c>
      <c r="N889" s="11" t="str">
        <f aca="false">TEXT(B889,"mmm")</f>
        <v>Sep</v>
      </c>
    </row>
    <row r="890" customFormat="false" ht="15" hidden="false" customHeight="false" outlineLevel="0" collapsed="false">
      <c r="A890" s="11" t="s">
        <v>951</v>
      </c>
      <c r="B890" s="20" t="n">
        <v>45901</v>
      </c>
      <c r="C890" s="11" t="s">
        <v>18</v>
      </c>
      <c r="D890" s="11" t="s">
        <v>37</v>
      </c>
      <c r="E890" s="11" t="s">
        <v>53</v>
      </c>
      <c r="F890" s="11" t="s">
        <v>42</v>
      </c>
      <c r="G890" s="11" t="n">
        <v>19</v>
      </c>
      <c r="H890" s="21" t="n">
        <v>9</v>
      </c>
      <c r="I890" s="21" t="n">
        <v>4.5</v>
      </c>
      <c r="J890" s="22" t="n">
        <v>0</v>
      </c>
      <c r="K890" s="21" t="n">
        <f aca="false">G890*H890*(1-J890)</f>
        <v>171</v>
      </c>
      <c r="L890" s="21" t="n">
        <f aca="false">G890*I890</f>
        <v>85.5</v>
      </c>
      <c r="M890" s="21" t="n">
        <f aca="false">K890-L890</f>
        <v>85.5</v>
      </c>
      <c r="N890" s="11" t="str">
        <f aca="false">TEXT(B890,"mmm")</f>
        <v>Sep</v>
      </c>
    </row>
    <row r="891" customFormat="false" ht="15" hidden="false" customHeight="false" outlineLevel="0" collapsed="false">
      <c r="A891" s="11" t="s">
        <v>952</v>
      </c>
      <c r="B891" s="20" t="n">
        <v>45901</v>
      </c>
      <c r="C891" s="11" t="s">
        <v>20</v>
      </c>
      <c r="D891" s="11" t="s">
        <v>35</v>
      </c>
      <c r="E891" s="11" t="s">
        <v>56</v>
      </c>
      <c r="F891" s="11" t="s">
        <v>42</v>
      </c>
      <c r="G891" s="11" t="n">
        <v>4</v>
      </c>
      <c r="H891" s="21" t="n">
        <v>110</v>
      </c>
      <c r="I891" s="21" t="n">
        <v>62</v>
      </c>
      <c r="J891" s="22" t="n">
        <v>0</v>
      </c>
      <c r="K891" s="21" t="n">
        <f aca="false">G891*H891*(1-J891)</f>
        <v>440</v>
      </c>
      <c r="L891" s="21" t="n">
        <f aca="false">G891*I891</f>
        <v>248</v>
      </c>
      <c r="M891" s="21" t="n">
        <f aca="false">K891-L891</f>
        <v>192</v>
      </c>
      <c r="N891" s="11" t="str">
        <f aca="false">TEXT(B891,"mmm")</f>
        <v>Sep</v>
      </c>
    </row>
    <row r="892" customFormat="false" ht="15" hidden="false" customHeight="false" outlineLevel="0" collapsed="false">
      <c r="A892" s="11" t="s">
        <v>953</v>
      </c>
      <c r="B892" s="20" t="n">
        <v>45902</v>
      </c>
      <c r="C892" s="11" t="s">
        <v>20</v>
      </c>
      <c r="D892" s="11" t="s">
        <v>37</v>
      </c>
      <c r="E892" s="11" t="s">
        <v>52</v>
      </c>
      <c r="F892" s="11" t="s">
        <v>44</v>
      </c>
      <c r="G892" s="11" t="n">
        <v>40</v>
      </c>
      <c r="H892" s="21" t="n">
        <v>12</v>
      </c>
      <c r="I892" s="21" t="n">
        <v>6</v>
      </c>
      <c r="J892" s="22" t="n">
        <v>0</v>
      </c>
      <c r="K892" s="21" t="n">
        <f aca="false">G892*H892*(1-J892)</f>
        <v>480</v>
      </c>
      <c r="L892" s="21" t="n">
        <f aca="false">G892*I892</f>
        <v>240</v>
      </c>
      <c r="M892" s="21" t="n">
        <f aca="false">K892-L892</f>
        <v>240</v>
      </c>
      <c r="N892" s="11" t="str">
        <f aca="false">TEXT(B892,"mmm")</f>
        <v>Sep</v>
      </c>
    </row>
    <row r="893" customFormat="false" ht="15" hidden="false" customHeight="false" outlineLevel="0" collapsed="false">
      <c r="A893" s="11" t="s">
        <v>954</v>
      </c>
      <c r="B893" s="20" t="n">
        <v>45902</v>
      </c>
      <c r="C893" s="11" t="s">
        <v>22</v>
      </c>
      <c r="D893" s="11" t="s">
        <v>33</v>
      </c>
      <c r="E893" s="11" t="s">
        <v>51</v>
      </c>
      <c r="F893" s="11" t="s">
        <v>44</v>
      </c>
      <c r="G893" s="11" t="n">
        <v>5</v>
      </c>
      <c r="H893" s="21" t="n">
        <v>90</v>
      </c>
      <c r="I893" s="21" t="n">
        <v>58</v>
      </c>
      <c r="J893" s="22" t="n">
        <v>0</v>
      </c>
      <c r="K893" s="21" t="n">
        <f aca="false">G893*H893*(1-J893)</f>
        <v>450</v>
      </c>
      <c r="L893" s="21" t="n">
        <f aca="false">G893*I893</f>
        <v>290</v>
      </c>
      <c r="M893" s="21" t="n">
        <f aca="false">K893-L893</f>
        <v>160</v>
      </c>
      <c r="N893" s="11" t="str">
        <f aca="false">TEXT(B893,"mmm")</f>
        <v>Sep</v>
      </c>
    </row>
    <row r="894" customFormat="false" ht="15" hidden="false" customHeight="false" outlineLevel="0" collapsed="false">
      <c r="A894" s="11" t="s">
        <v>955</v>
      </c>
      <c r="B894" s="20" t="n">
        <v>45902</v>
      </c>
      <c r="C894" s="11" t="s">
        <v>18</v>
      </c>
      <c r="D894" s="11" t="s">
        <v>33</v>
      </c>
      <c r="E894" s="11" t="s">
        <v>51</v>
      </c>
      <c r="F894" s="11" t="s">
        <v>44</v>
      </c>
      <c r="G894" s="11" t="n">
        <v>6</v>
      </c>
      <c r="H894" s="21" t="n">
        <v>90</v>
      </c>
      <c r="I894" s="21" t="n">
        <v>58</v>
      </c>
      <c r="J894" s="22" t="n">
        <v>0.05</v>
      </c>
      <c r="K894" s="21" t="n">
        <f aca="false">G894*H894*(1-J894)</f>
        <v>513</v>
      </c>
      <c r="L894" s="21" t="n">
        <f aca="false">G894*I894</f>
        <v>348</v>
      </c>
      <c r="M894" s="21" t="n">
        <f aca="false">K894-L894</f>
        <v>165</v>
      </c>
      <c r="N894" s="11" t="str">
        <f aca="false">TEXT(B894,"mmm")</f>
        <v>Sep</v>
      </c>
    </row>
    <row r="895" customFormat="false" ht="15" hidden="false" customHeight="false" outlineLevel="0" collapsed="false">
      <c r="A895" s="11" t="s">
        <v>956</v>
      </c>
      <c r="B895" s="20" t="n">
        <v>45902</v>
      </c>
      <c r="C895" s="11" t="s">
        <v>18</v>
      </c>
      <c r="D895" s="11" t="s">
        <v>37</v>
      </c>
      <c r="E895" s="11" t="s">
        <v>49</v>
      </c>
      <c r="F895" s="11" t="s">
        <v>42</v>
      </c>
      <c r="G895" s="11" t="n">
        <v>3</v>
      </c>
      <c r="H895" s="21" t="n">
        <v>28</v>
      </c>
      <c r="I895" s="21" t="n">
        <v>17</v>
      </c>
      <c r="J895" s="22" t="n">
        <v>0.05</v>
      </c>
      <c r="K895" s="21" t="n">
        <f aca="false">G895*H895*(1-J895)</f>
        <v>79.8</v>
      </c>
      <c r="L895" s="21" t="n">
        <f aca="false">G895*I895</f>
        <v>51</v>
      </c>
      <c r="M895" s="21" t="n">
        <f aca="false">K895-L895</f>
        <v>28.8</v>
      </c>
      <c r="N895" s="11" t="str">
        <f aca="false">TEXT(B895,"mmm")</f>
        <v>Sep</v>
      </c>
    </row>
    <row r="896" customFormat="false" ht="15" hidden="false" customHeight="false" outlineLevel="0" collapsed="false">
      <c r="A896" s="11" t="s">
        <v>957</v>
      </c>
      <c r="B896" s="20" t="n">
        <v>45903</v>
      </c>
      <c r="C896" s="11" t="s">
        <v>22</v>
      </c>
      <c r="D896" s="11" t="s">
        <v>35</v>
      </c>
      <c r="E896" s="11" t="s">
        <v>56</v>
      </c>
      <c r="F896" s="11" t="s">
        <v>42</v>
      </c>
      <c r="G896" s="11" t="n">
        <v>3</v>
      </c>
      <c r="H896" s="21" t="n">
        <v>110</v>
      </c>
      <c r="I896" s="21" t="n">
        <v>62</v>
      </c>
      <c r="J896" s="22" t="n">
        <v>0</v>
      </c>
      <c r="K896" s="21" t="n">
        <f aca="false">G896*H896*(1-J896)</f>
        <v>330</v>
      </c>
      <c r="L896" s="21" t="n">
        <f aca="false">G896*I896</f>
        <v>186</v>
      </c>
      <c r="M896" s="21" t="n">
        <f aca="false">K896-L896</f>
        <v>144</v>
      </c>
      <c r="N896" s="11" t="str">
        <f aca="false">TEXT(B896,"mmm")</f>
        <v>Sep</v>
      </c>
    </row>
    <row r="897" customFormat="false" ht="15" hidden="false" customHeight="false" outlineLevel="0" collapsed="false">
      <c r="A897" s="11" t="s">
        <v>958</v>
      </c>
      <c r="B897" s="20" t="n">
        <v>45903</v>
      </c>
      <c r="C897" s="11" t="s">
        <v>18</v>
      </c>
      <c r="D897" s="11" t="s">
        <v>37</v>
      </c>
      <c r="E897" s="11" t="s">
        <v>52</v>
      </c>
      <c r="F897" s="11" t="s">
        <v>42</v>
      </c>
      <c r="G897" s="11" t="n">
        <v>32</v>
      </c>
      <c r="H897" s="21" t="n">
        <v>12</v>
      </c>
      <c r="I897" s="21" t="n">
        <v>6</v>
      </c>
      <c r="J897" s="22" t="n">
        <v>0.1</v>
      </c>
      <c r="K897" s="21" t="n">
        <f aca="false">G897*H897*(1-J897)</f>
        <v>345.6</v>
      </c>
      <c r="L897" s="21" t="n">
        <f aca="false">G897*I897</f>
        <v>192</v>
      </c>
      <c r="M897" s="21" t="n">
        <f aca="false">K897-L897</f>
        <v>153.6</v>
      </c>
      <c r="N897" s="11" t="str">
        <f aca="false">TEXT(B897,"mmm")</f>
        <v>Sep</v>
      </c>
    </row>
    <row r="898" customFormat="false" ht="15" hidden="false" customHeight="false" outlineLevel="0" collapsed="false">
      <c r="A898" s="11" t="s">
        <v>959</v>
      </c>
      <c r="B898" s="20" t="n">
        <v>45903</v>
      </c>
      <c r="C898" s="11" t="s">
        <v>20</v>
      </c>
      <c r="D898" s="11" t="s">
        <v>33</v>
      </c>
      <c r="E898" s="11" t="s">
        <v>48</v>
      </c>
      <c r="F898" s="11" t="s">
        <v>45</v>
      </c>
      <c r="G898" s="11" t="n">
        <v>3</v>
      </c>
      <c r="H898" s="21" t="n">
        <v>520</v>
      </c>
      <c r="I898" s="21" t="n">
        <v>415</v>
      </c>
      <c r="J898" s="22" t="n">
        <v>0.1</v>
      </c>
      <c r="K898" s="21" t="n">
        <f aca="false">G898*H898*(1-J898)</f>
        <v>1404</v>
      </c>
      <c r="L898" s="21" t="n">
        <f aca="false">G898*I898</f>
        <v>1245</v>
      </c>
      <c r="M898" s="21" t="n">
        <f aca="false">K898-L898</f>
        <v>159</v>
      </c>
      <c r="N898" s="11" t="str">
        <f aca="false">TEXT(B898,"mmm")</f>
        <v>Sep</v>
      </c>
    </row>
    <row r="899" customFormat="false" ht="15" hidden="false" customHeight="false" outlineLevel="0" collapsed="false">
      <c r="A899" s="11" t="s">
        <v>960</v>
      </c>
      <c r="B899" s="20" t="n">
        <v>45903</v>
      </c>
      <c r="C899" s="11" t="s">
        <v>20</v>
      </c>
      <c r="D899" s="11" t="s">
        <v>37</v>
      </c>
      <c r="E899" s="11" t="s">
        <v>53</v>
      </c>
      <c r="F899" s="11" t="s">
        <v>45</v>
      </c>
      <c r="G899" s="11" t="n">
        <v>48</v>
      </c>
      <c r="H899" s="21" t="n">
        <v>9</v>
      </c>
      <c r="I899" s="21" t="n">
        <v>4.5</v>
      </c>
      <c r="J899" s="22" t="n">
        <v>0.1</v>
      </c>
      <c r="K899" s="21" t="n">
        <f aca="false">G899*H899*(1-J899)</f>
        <v>388.8</v>
      </c>
      <c r="L899" s="21" t="n">
        <f aca="false">G899*I899</f>
        <v>216</v>
      </c>
      <c r="M899" s="21" t="n">
        <f aca="false">K899-L899</f>
        <v>172.8</v>
      </c>
      <c r="N899" s="11" t="str">
        <f aca="false">TEXT(B899,"mmm")</f>
        <v>Sep</v>
      </c>
    </row>
    <row r="900" customFormat="false" ht="15" hidden="false" customHeight="false" outlineLevel="0" collapsed="false">
      <c r="A900" s="11" t="s">
        <v>961</v>
      </c>
      <c r="B900" s="20" t="n">
        <v>45903</v>
      </c>
      <c r="C900" s="11" t="s">
        <v>24</v>
      </c>
      <c r="D900" s="11" t="s">
        <v>37</v>
      </c>
      <c r="E900" s="11" t="s">
        <v>52</v>
      </c>
      <c r="F900" s="11" t="s">
        <v>42</v>
      </c>
      <c r="G900" s="11" t="n">
        <v>11</v>
      </c>
      <c r="H900" s="21" t="n">
        <v>12</v>
      </c>
      <c r="I900" s="21" t="n">
        <v>6</v>
      </c>
      <c r="J900" s="22" t="n">
        <v>0</v>
      </c>
      <c r="K900" s="21" t="n">
        <f aca="false">G900*H900*(1-J900)</f>
        <v>132</v>
      </c>
      <c r="L900" s="21" t="n">
        <f aca="false">G900*I900</f>
        <v>66</v>
      </c>
      <c r="M900" s="21" t="n">
        <f aca="false">K900-L900</f>
        <v>66</v>
      </c>
      <c r="N900" s="11" t="str">
        <f aca="false">TEXT(B900,"mmm")</f>
        <v>Sep</v>
      </c>
    </row>
    <row r="901" customFormat="false" ht="15" hidden="false" customHeight="false" outlineLevel="0" collapsed="false">
      <c r="A901" s="11" t="s">
        <v>962</v>
      </c>
      <c r="B901" s="20" t="n">
        <v>45903</v>
      </c>
      <c r="C901" s="11" t="s">
        <v>18</v>
      </c>
      <c r="D901" s="11" t="s">
        <v>33</v>
      </c>
      <c r="E901" s="11" t="s">
        <v>50</v>
      </c>
      <c r="F901" s="11" t="s">
        <v>45</v>
      </c>
      <c r="G901" s="11" t="n">
        <v>2</v>
      </c>
      <c r="H901" s="21" t="n">
        <v>780</v>
      </c>
      <c r="I901" s="21" t="n">
        <v>600</v>
      </c>
      <c r="J901" s="22" t="n">
        <v>0.2</v>
      </c>
      <c r="K901" s="21" t="n">
        <f aca="false">G901*H901*(1-J901)</f>
        <v>1248</v>
      </c>
      <c r="L901" s="21" t="n">
        <f aca="false">G901*I901</f>
        <v>1200</v>
      </c>
      <c r="M901" s="21" t="n">
        <f aca="false">K901-L901</f>
        <v>48</v>
      </c>
      <c r="N901" s="11" t="str">
        <f aca="false">TEXT(B901,"mmm")</f>
        <v>Sep</v>
      </c>
    </row>
    <row r="902" customFormat="false" ht="15" hidden="false" customHeight="false" outlineLevel="0" collapsed="false">
      <c r="A902" s="11" t="s">
        <v>963</v>
      </c>
      <c r="B902" s="20" t="n">
        <v>45903</v>
      </c>
      <c r="C902" s="11" t="s">
        <v>22</v>
      </c>
      <c r="D902" s="11" t="s">
        <v>33</v>
      </c>
      <c r="E902" s="11" t="s">
        <v>48</v>
      </c>
      <c r="F902" s="11" t="s">
        <v>45</v>
      </c>
      <c r="G902" s="11" t="n">
        <v>1</v>
      </c>
      <c r="H902" s="21" t="n">
        <v>520</v>
      </c>
      <c r="I902" s="21" t="n">
        <v>415</v>
      </c>
      <c r="J902" s="22" t="n">
        <v>0.1</v>
      </c>
      <c r="K902" s="21" t="n">
        <f aca="false">G902*H902*(1-J902)</f>
        <v>468</v>
      </c>
      <c r="L902" s="21" t="n">
        <f aca="false">G902*I902</f>
        <v>415</v>
      </c>
      <c r="M902" s="21" t="n">
        <f aca="false">K902-L902</f>
        <v>53</v>
      </c>
      <c r="N902" s="11" t="str">
        <f aca="false">TEXT(B902,"mmm")</f>
        <v>Sep</v>
      </c>
    </row>
    <row r="903" customFormat="false" ht="15" hidden="false" customHeight="false" outlineLevel="0" collapsed="false">
      <c r="A903" s="11" t="s">
        <v>964</v>
      </c>
      <c r="B903" s="20" t="n">
        <v>45904</v>
      </c>
      <c r="C903" s="11" t="s">
        <v>20</v>
      </c>
      <c r="D903" s="11" t="s">
        <v>33</v>
      </c>
      <c r="E903" s="11" t="s">
        <v>50</v>
      </c>
      <c r="F903" s="11" t="s">
        <v>44</v>
      </c>
      <c r="G903" s="11" t="n">
        <v>2</v>
      </c>
      <c r="H903" s="21" t="n">
        <v>780</v>
      </c>
      <c r="I903" s="21" t="n">
        <v>600</v>
      </c>
      <c r="J903" s="22" t="n">
        <v>0.1</v>
      </c>
      <c r="K903" s="21" t="n">
        <f aca="false">G903*H903*(1-J903)</f>
        <v>1404</v>
      </c>
      <c r="L903" s="21" t="n">
        <f aca="false">G903*I903</f>
        <v>1200</v>
      </c>
      <c r="M903" s="21" t="n">
        <f aca="false">K903-L903</f>
        <v>204</v>
      </c>
      <c r="N903" s="11" t="str">
        <f aca="false">TEXT(B903,"mmm")</f>
        <v>Sep</v>
      </c>
    </row>
    <row r="904" customFormat="false" ht="15" hidden="false" customHeight="false" outlineLevel="0" collapsed="false">
      <c r="A904" s="11" t="s">
        <v>965</v>
      </c>
      <c r="B904" s="20" t="n">
        <v>45904</v>
      </c>
      <c r="C904" s="11" t="s">
        <v>24</v>
      </c>
      <c r="D904" s="11" t="s">
        <v>35</v>
      </c>
      <c r="E904" s="11" t="s">
        <v>56</v>
      </c>
      <c r="F904" s="11" t="s">
        <v>44</v>
      </c>
      <c r="G904" s="11" t="n">
        <v>2</v>
      </c>
      <c r="H904" s="21" t="n">
        <v>110</v>
      </c>
      <c r="I904" s="21" t="n">
        <v>62</v>
      </c>
      <c r="J904" s="22" t="n">
        <v>0.05</v>
      </c>
      <c r="K904" s="21" t="n">
        <f aca="false">G904*H904*(1-J904)</f>
        <v>209</v>
      </c>
      <c r="L904" s="21" t="n">
        <f aca="false">G904*I904</f>
        <v>124</v>
      </c>
      <c r="M904" s="21" t="n">
        <f aca="false">K904-L904</f>
        <v>85</v>
      </c>
      <c r="N904" s="11" t="str">
        <f aca="false">TEXT(B904,"mmm")</f>
        <v>Sep</v>
      </c>
    </row>
    <row r="905" customFormat="false" ht="15" hidden="false" customHeight="false" outlineLevel="0" collapsed="false">
      <c r="A905" s="11" t="s">
        <v>966</v>
      </c>
      <c r="B905" s="20" t="n">
        <v>45905</v>
      </c>
      <c r="C905" s="11" t="s">
        <v>24</v>
      </c>
      <c r="D905" s="11" t="s">
        <v>35</v>
      </c>
      <c r="E905" s="11" t="s">
        <v>54</v>
      </c>
      <c r="F905" s="11" t="s">
        <v>45</v>
      </c>
      <c r="G905" s="11" t="n">
        <v>1</v>
      </c>
      <c r="H905" s="21" t="n">
        <v>320</v>
      </c>
      <c r="I905" s="21" t="n">
        <v>185</v>
      </c>
      <c r="J905" s="22" t="n">
        <v>0.1</v>
      </c>
      <c r="K905" s="21" t="n">
        <f aca="false">G905*H905*(1-J905)</f>
        <v>288</v>
      </c>
      <c r="L905" s="21" t="n">
        <f aca="false">G905*I905</f>
        <v>185</v>
      </c>
      <c r="M905" s="21" t="n">
        <f aca="false">K905-L905</f>
        <v>103</v>
      </c>
      <c r="N905" s="11" t="str">
        <f aca="false">TEXT(B905,"mmm")</f>
        <v>Sep</v>
      </c>
    </row>
    <row r="906" customFormat="false" ht="15" hidden="false" customHeight="false" outlineLevel="0" collapsed="false">
      <c r="A906" s="11" t="s">
        <v>967</v>
      </c>
      <c r="B906" s="20" t="n">
        <v>45905</v>
      </c>
      <c r="C906" s="11" t="s">
        <v>24</v>
      </c>
      <c r="D906" s="11" t="s">
        <v>37</v>
      </c>
      <c r="E906" s="11" t="s">
        <v>52</v>
      </c>
      <c r="F906" s="11" t="s">
        <v>44</v>
      </c>
      <c r="G906" s="11" t="n">
        <v>17</v>
      </c>
      <c r="H906" s="21" t="n">
        <v>12</v>
      </c>
      <c r="I906" s="21" t="n">
        <v>6</v>
      </c>
      <c r="J906" s="22" t="n">
        <v>0</v>
      </c>
      <c r="K906" s="21" t="n">
        <f aca="false">G906*H906*(1-J906)</f>
        <v>204</v>
      </c>
      <c r="L906" s="21" t="n">
        <f aca="false">G906*I906</f>
        <v>102</v>
      </c>
      <c r="M906" s="21" t="n">
        <f aca="false">K906-L906</f>
        <v>102</v>
      </c>
      <c r="N906" s="11" t="str">
        <f aca="false">TEXT(B906,"mmm")</f>
        <v>Sep</v>
      </c>
    </row>
    <row r="907" customFormat="false" ht="15" hidden="false" customHeight="false" outlineLevel="0" collapsed="false">
      <c r="A907" s="11" t="s">
        <v>968</v>
      </c>
      <c r="B907" s="20" t="n">
        <v>45905</v>
      </c>
      <c r="C907" s="11" t="s">
        <v>20</v>
      </c>
      <c r="D907" s="11" t="s">
        <v>33</v>
      </c>
      <c r="E907" s="11" t="s">
        <v>50</v>
      </c>
      <c r="F907" s="11" t="s">
        <v>44</v>
      </c>
      <c r="G907" s="11" t="n">
        <v>3</v>
      </c>
      <c r="H907" s="21" t="n">
        <v>780</v>
      </c>
      <c r="I907" s="21" t="n">
        <v>600</v>
      </c>
      <c r="J907" s="22" t="n">
        <v>0.05</v>
      </c>
      <c r="K907" s="21" t="n">
        <f aca="false">G907*H907*(1-J907)</f>
        <v>2223</v>
      </c>
      <c r="L907" s="21" t="n">
        <f aca="false">G907*I907</f>
        <v>1800</v>
      </c>
      <c r="M907" s="21" t="n">
        <f aca="false">K907-L907</f>
        <v>423</v>
      </c>
      <c r="N907" s="11" t="str">
        <f aca="false">TEXT(B907,"mmm")</f>
        <v>Sep</v>
      </c>
    </row>
    <row r="908" customFormat="false" ht="15" hidden="false" customHeight="false" outlineLevel="0" collapsed="false">
      <c r="A908" s="11" t="s">
        <v>969</v>
      </c>
      <c r="B908" s="20" t="n">
        <v>45906</v>
      </c>
      <c r="C908" s="11" t="s">
        <v>20</v>
      </c>
      <c r="D908" s="11" t="s">
        <v>35</v>
      </c>
      <c r="E908" s="11" t="s">
        <v>56</v>
      </c>
      <c r="F908" s="11" t="s">
        <v>44</v>
      </c>
      <c r="G908" s="11" t="n">
        <v>2</v>
      </c>
      <c r="H908" s="21" t="n">
        <v>110</v>
      </c>
      <c r="I908" s="21" t="n">
        <v>62</v>
      </c>
      <c r="J908" s="22" t="n">
        <v>0</v>
      </c>
      <c r="K908" s="21" t="n">
        <f aca="false">G908*H908*(1-J908)</f>
        <v>220</v>
      </c>
      <c r="L908" s="21" t="n">
        <f aca="false">G908*I908</f>
        <v>124</v>
      </c>
      <c r="M908" s="21" t="n">
        <f aca="false">K908-L908</f>
        <v>96</v>
      </c>
      <c r="N908" s="11" t="str">
        <f aca="false">TEXT(B908,"mmm")</f>
        <v>Sep</v>
      </c>
    </row>
    <row r="909" customFormat="false" ht="15" hidden="false" customHeight="false" outlineLevel="0" collapsed="false">
      <c r="A909" s="11" t="s">
        <v>970</v>
      </c>
      <c r="B909" s="20" t="n">
        <v>45906</v>
      </c>
      <c r="C909" s="11" t="s">
        <v>20</v>
      </c>
      <c r="D909" s="11" t="s">
        <v>37</v>
      </c>
      <c r="E909" s="11" t="s">
        <v>52</v>
      </c>
      <c r="F909" s="11" t="s">
        <v>44</v>
      </c>
      <c r="G909" s="11" t="n">
        <v>37</v>
      </c>
      <c r="H909" s="21" t="n">
        <v>12</v>
      </c>
      <c r="I909" s="21" t="n">
        <v>6</v>
      </c>
      <c r="J909" s="22" t="n">
        <v>0</v>
      </c>
      <c r="K909" s="21" t="n">
        <f aca="false">G909*H909*(1-J909)</f>
        <v>444</v>
      </c>
      <c r="L909" s="21" t="n">
        <f aca="false">G909*I909</f>
        <v>222</v>
      </c>
      <c r="M909" s="21" t="n">
        <f aca="false">K909-L909</f>
        <v>222</v>
      </c>
      <c r="N909" s="11" t="str">
        <f aca="false">TEXT(B909,"mmm")</f>
        <v>Sep</v>
      </c>
    </row>
    <row r="910" customFormat="false" ht="15" hidden="false" customHeight="false" outlineLevel="0" collapsed="false">
      <c r="A910" s="11" t="s">
        <v>971</v>
      </c>
      <c r="B910" s="20" t="n">
        <v>45906</v>
      </c>
      <c r="C910" s="11" t="s">
        <v>22</v>
      </c>
      <c r="D910" s="11" t="s">
        <v>33</v>
      </c>
      <c r="E910" s="11" t="s">
        <v>48</v>
      </c>
      <c r="F910" s="11" t="s">
        <v>44</v>
      </c>
      <c r="G910" s="11" t="n">
        <v>4</v>
      </c>
      <c r="H910" s="21" t="n">
        <v>520</v>
      </c>
      <c r="I910" s="21" t="n">
        <v>415</v>
      </c>
      <c r="J910" s="22" t="n">
        <v>0</v>
      </c>
      <c r="K910" s="21" t="n">
        <f aca="false">G910*H910*(1-J910)</f>
        <v>2080</v>
      </c>
      <c r="L910" s="21" t="n">
        <f aca="false">G910*I910</f>
        <v>1660</v>
      </c>
      <c r="M910" s="21" t="n">
        <f aca="false">K910-L910</f>
        <v>420</v>
      </c>
      <c r="N910" s="11" t="str">
        <f aca="false">TEXT(B910,"mmm")</f>
        <v>Sep</v>
      </c>
    </row>
    <row r="911" customFormat="false" ht="15" hidden="false" customHeight="false" outlineLevel="0" collapsed="false">
      <c r="A911" s="11" t="s">
        <v>972</v>
      </c>
      <c r="B911" s="20" t="n">
        <v>45906</v>
      </c>
      <c r="C911" s="11" t="s">
        <v>22</v>
      </c>
      <c r="D911" s="11" t="s">
        <v>33</v>
      </c>
      <c r="E911" s="11" t="s">
        <v>50</v>
      </c>
      <c r="F911" s="11" t="s">
        <v>45</v>
      </c>
      <c r="G911" s="11" t="n">
        <v>2</v>
      </c>
      <c r="H911" s="21" t="n">
        <v>780</v>
      </c>
      <c r="I911" s="21" t="n">
        <v>600</v>
      </c>
      <c r="J911" s="22" t="n">
        <v>0.2</v>
      </c>
      <c r="K911" s="21" t="n">
        <f aca="false">G911*H911*(1-J911)</f>
        <v>1248</v>
      </c>
      <c r="L911" s="21" t="n">
        <f aca="false">G911*I911</f>
        <v>1200</v>
      </c>
      <c r="M911" s="21" t="n">
        <f aca="false">K911-L911</f>
        <v>48</v>
      </c>
      <c r="N911" s="11" t="str">
        <f aca="false">TEXT(B911,"mmm")</f>
        <v>Sep</v>
      </c>
    </row>
    <row r="912" customFormat="false" ht="15" hidden="false" customHeight="false" outlineLevel="0" collapsed="false">
      <c r="A912" s="11" t="s">
        <v>973</v>
      </c>
      <c r="B912" s="20" t="n">
        <v>45906</v>
      </c>
      <c r="C912" s="11" t="s">
        <v>20</v>
      </c>
      <c r="D912" s="11" t="s">
        <v>33</v>
      </c>
      <c r="E912" s="11" t="s">
        <v>51</v>
      </c>
      <c r="F912" s="11" t="s">
        <v>42</v>
      </c>
      <c r="G912" s="11" t="n">
        <v>4</v>
      </c>
      <c r="H912" s="21" t="n">
        <v>90</v>
      </c>
      <c r="I912" s="21" t="n">
        <v>58</v>
      </c>
      <c r="J912" s="22" t="n">
        <v>0</v>
      </c>
      <c r="K912" s="21" t="n">
        <f aca="false">G912*H912*(1-J912)</f>
        <v>360</v>
      </c>
      <c r="L912" s="21" t="n">
        <f aca="false">G912*I912</f>
        <v>232</v>
      </c>
      <c r="M912" s="21" t="n">
        <f aca="false">K912-L912</f>
        <v>128</v>
      </c>
      <c r="N912" s="11" t="str">
        <f aca="false">TEXT(B912,"mmm")</f>
        <v>Sep</v>
      </c>
    </row>
    <row r="913" customFormat="false" ht="15" hidden="false" customHeight="false" outlineLevel="0" collapsed="false">
      <c r="A913" s="11" t="s">
        <v>974</v>
      </c>
      <c r="B913" s="20" t="n">
        <v>45907</v>
      </c>
      <c r="C913" s="11" t="s">
        <v>20</v>
      </c>
      <c r="D913" s="11" t="s">
        <v>33</v>
      </c>
      <c r="E913" s="11" t="s">
        <v>50</v>
      </c>
      <c r="F913" s="11" t="s">
        <v>42</v>
      </c>
      <c r="G913" s="11" t="n">
        <v>1</v>
      </c>
      <c r="H913" s="21" t="n">
        <v>780</v>
      </c>
      <c r="I913" s="21" t="n">
        <v>600</v>
      </c>
      <c r="J913" s="22" t="n">
        <v>0</v>
      </c>
      <c r="K913" s="21" t="n">
        <f aca="false">G913*H913*(1-J913)</f>
        <v>780</v>
      </c>
      <c r="L913" s="21" t="n">
        <f aca="false">G913*I913</f>
        <v>600</v>
      </c>
      <c r="M913" s="21" t="n">
        <f aca="false">K913-L913</f>
        <v>180</v>
      </c>
      <c r="N913" s="11" t="str">
        <f aca="false">TEXT(B913,"mmm")</f>
        <v>Sep</v>
      </c>
    </row>
    <row r="914" customFormat="false" ht="15" hidden="false" customHeight="false" outlineLevel="0" collapsed="false">
      <c r="A914" s="11" t="s">
        <v>975</v>
      </c>
      <c r="B914" s="20" t="n">
        <v>45907</v>
      </c>
      <c r="C914" s="11" t="s">
        <v>18</v>
      </c>
      <c r="D914" s="11" t="s">
        <v>33</v>
      </c>
      <c r="E914" s="11" t="s">
        <v>51</v>
      </c>
      <c r="F914" s="11" t="s">
        <v>45</v>
      </c>
      <c r="G914" s="11" t="n">
        <v>6</v>
      </c>
      <c r="H914" s="21" t="n">
        <v>90</v>
      </c>
      <c r="I914" s="21" t="n">
        <v>58</v>
      </c>
      <c r="J914" s="22" t="n">
        <v>0.2</v>
      </c>
      <c r="K914" s="21" t="n">
        <f aca="false">G914*H914*(1-J914)</f>
        <v>432</v>
      </c>
      <c r="L914" s="21" t="n">
        <f aca="false">G914*I914</f>
        <v>348</v>
      </c>
      <c r="M914" s="21" t="n">
        <f aca="false">K914-L914</f>
        <v>84</v>
      </c>
      <c r="N914" s="11" t="str">
        <f aca="false">TEXT(B914,"mmm")</f>
        <v>Sep</v>
      </c>
    </row>
    <row r="915" customFormat="false" ht="15" hidden="false" customHeight="false" outlineLevel="0" collapsed="false">
      <c r="A915" s="11" t="s">
        <v>976</v>
      </c>
      <c r="B915" s="20" t="n">
        <v>45907</v>
      </c>
      <c r="C915" s="11" t="s">
        <v>22</v>
      </c>
      <c r="D915" s="11" t="s">
        <v>37</v>
      </c>
      <c r="E915" s="11" t="s">
        <v>49</v>
      </c>
      <c r="F915" s="11" t="s">
        <v>42</v>
      </c>
      <c r="G915" s="11" t="n">
        <v>11</v>
      </c>
      <c r="H915" s="21" t="n">
        <v>28</v>
      </c>
      <c r="I915" s="21" t="n">
        <v>17</v>
      </c>
      <c r="J915" s="22" t="n">
        <v>0.1</v>
      </c>
      <c r="K915" s="21" t="n">
        <f aca="false">G915*H915*(1-J915)</f>
        <v>277.2</v>
      </c>
      <c r="L915" s="21" t="n">
        <f aca="false">G915*I915</f>
        <v>187</v>
      </c>
      <c r="M915" s="21" t="n">
        <f aca="false">K915-L915</f>
        <v>90.2</v>
      </c>
      <c r="N915" s="11" t="str">
        <f aca="false">TEXT(B915,"mmm")</f>
        <v>Sep</v>
      </c>
    </row>
    <row r="916" customFormat="false" ht="15" hidden="false" customHeight="false" outlineLevel="0" collapsed="false">
      <c r="A916" s="11" t="s">
        <v>977</v>
      </c>
      <c r="B916" s="20" t="n">
        <v>45908</v>
      </c>
      <c r="C916" s="11" t="s">
        <v>20</v>
      </c>
      <c r="D916" s="11" t="s">
        <v>33</v>
      </c>
      <c r="E916" s="11" t="s">
        <v>51</v>
      </c>
      <c r="F916" s="11" t="s">
        <v>44</v>
      </c>
      <c r="G916" s="11" t="n">
        <v>6</v>
      </c>
      <c r="H916" s="21" t="n">
        <v>90</v>
      </c>
      <c r="I916" s="21" t="n">
        <v>58</v>
      </c>
      <c r="J916" s="22" t="n">
        <v>0</v>
      </c>
      <c r="K916" s="21" t="n">
        <f aca="false">G916*H916*(1-J916)</f>
        <v>540</v>
      </c>
      <c r="L916" s="21" t="n">
        <f aca="false">G916*I916</f>
        <v>348</v>
      </c>
      <c r="M916" s="21" t="n">
        <f aca="false">K916-L916</f>
        <v>192</v>
      </c>
      <c r="N916" s="11" t="str">
        <f aca="false">TEXT(B916,"mmm")</f>
        <v>Sep</v>
      </c>
    </row>
    <row r="917" customFormat="false" ht="15" hidden="false" customHeight="false" outlineLevel="0" collapsed="false">
      <c r="A917" s="11" t="s">
        <v>978</v>
      </c>
      <c r="B917" s="20" t="n">
        <v>45908</v>
      </c>
      <c r="C917" s="11" t="s">
        <v>18</v>
      </c>
      <c r="D917" s="11" t="s">
        <v>35</v>
      </c>
      <c r="E917" s="11" t="s">
        <v>54</v>
      </c>
      <c r="F917" s="11" t="s">
        <v>45</v>
      </c>
      <c r="G917" s="11" t="n">
        <v>2</v>
      </c>
      <c r="H917" s="21" t="n">
        <v>320</v>
      </c>
      <c r="I917" s="21" t="n">
        <v>185</v>
      </c>
      <c r="J917" s="22" t="n">
        <v>0.2</v>
      </c>
      <c r="K917" s="21" t="n">
        <f aca="false">G917*H917*(1-J917)</f>
        <v>512</v>
      </c>
      <c r="L917" s="21" t="n">
        <f aca="false">G917*I917</f>
        <v>370</v>
      </c>
      <c r="M917" s="21" t="n">
        <f aca="false">K917-L917</f>
        <v>142</v>
      </c>
      <c r="N917" s="11" t="str">
        <f aca="false">TEXT(B917,"mmm")</f>
        <v>Sep</v>
      </c>
    </row>
    <row r="918" customFormat="false" ht="15" hidden="false" customHeight="false" outlineLevel="0" collapsed="false">
      <c r="A918" s="11" t="s">
        <v>979</v>
      </c>
      <c r="B918" s="20" t="n">
        <v>45908</v>
      </c>
      <c r="C918" s="11" t="s">
        <v>22</v>
      </c>
      <c r="D918" s="11" t="s">
        <v>33</v>
      </c>
      <c r="E918" s="11" t="s">
        <v>51</v>
      </c>
      <c r="F918" s="11" t="s">
        <v>42</v>
      </c>
      <c r="G918" s="11" t="n">
        <v>1</v>
      </c>
      <c r="H918" s="21" t="n">
        <v>90</v>
      </c>
      <c r="I918" s="21" t="n">
        <v>58</v>
      </c>
      <c r="J918" s="22" t="n">
        <v>0.15</v>
      </c>
      <c r="K918" s="21" t="n">
        <f aca="false">G918*H918*(1-J918)</f>
        <v>76.5</v>
      </c>
      <c r="L918" s="21" t="n">
        <f aca="false">G918*I918</f>
        <v>58</v>
      </c>
      <c r="M918" s="21" t="n">
        <f aca="false">K918-L918</f>
        <v>18.5</v>
      </c>
      <c r="N918" s="11" t="str">
        <f aca="false">TEXT(B918,"mmm")</f>
        <v>Sep</v>
      </c>
    </row>
    <row r="919" customFormat="false" ht="15" hidden="false" customHeight="false" outlineLevel="0" collapsed="false">
      <c r="A919" s="11" t="s">
        <v>980</v>
      </c>
      <c r="B919" s="20" t="n">
        <v>45908</v>
      </c>
      <c r="C919" s="11" t="s">
        <v>20</v>
      </c>
      <c r="D919" s="11" t="s">
        <v>33</v>
      </c>
      <c r="E919" s="11" t="s">
        <v>50</v>
      </c>
      <c r="F919" s="11" t="s">
        <v>42</v>
      </c>
      <c r="G919" s="11" t="n">
        <v>3</v>
      </c>
      <c r="H919" s="21" t="n">
        <v>780</v>
      </c>
      <c r="I919" s="21" t="n">
        <v>600</v>
      </c>
      <c r="J919" s="22" t="n">
        <v>0</v>
      </c>
      <c r="K919" s="21" t="n">
        <f aca="false">G919*H919*(1-J919)</f>
        <v>2340</v>
      </c>
      <c r="L919" s="21" t="n">
        <f aca="false">G919*I919</f>
        <v>1800</v>
      </c>
      <c r="M919" s="21" t="n">
        <f aca="false">K919-L919</f>
        <v>540</v>
      </c>
      <c r="N919" s="11" t="str">
        <f aca="false">TEXT(B919,"mmm")</f>
        <v>Sep</v>
      </c>
    </row>
    <row r="920" customFormat="false" ht="15" hidden="false" customHeight="false" outlineLevel="0" collapsed="false">
      <c r="A920" s="11" t="s">
        <v>981</v>
      </c>
      <c r="B920" s="20" t="n">
        <v>45908</v>
      </c>
      <c r="C920" s="11" t="s">
        <v>24</v>
      </c>
      <c r="D920" s="11" t="s">
        <v>37</v>
      </c>
      <c r="E920" s="11" t="s">
        <v>53</v>
      </c>
      <c r="F920" s="11" t="s">
        <v>44</v>
      </c>
      <c r="G920" s="11" t="n">
        <v>22</v>
      </c>
      <c r="H920" s="21" t="n">
        <v>9</v>
      </c>
      <c r="I920" s="21" t="n">
        <v>4.5</v>
      </c>
      <c r="J920" s="22" t="n">
        <v>0</v>
      </c>
      <c r="K920" s="21" t="n">
        <f aca="false">G920*H920*(1-J920)</f>
        <v>198</v>
      </c>
      <c r="L920" s="21" t="n">
        <f aca="false">G920*I920</f>
        <v>99</v>
      </c>
      <c r="M920" s="21" t="n">
        <f aca="false">K920-L920</f>
        <v>99</v>
      </c>
      <c r="N920" s="11" t="str">
        <f aca="false">TEXT(B920,"mmm")</f>
        <v>Sep</v>
      </c>
    </row>
    <row r="921" customFormat="false" ht="15" hidden="false" customHeight="false" outlineLevel="0" collapsed="false">
      <c r="A921" s="11" t="s">
        <v>982</v>
      </c>
      <c r="B921" s="20" t="n">
        <v>45908</v>
      </c>
      <c r="C921" s="11" t="s">
        <v>18</v>
      </c>
      <c r="D921" s="11" t="s">
        <v>37</v>
      </c>
      <c r="E921" s="11" t="s">
        <v>53</v>
      </c>
      <c r="F921" s="11" t="s">
        <v>42</v>
      </c>
      <c r="G921" s="11" t="n">
        <v>21</v>
      </c>
      <c r="H921" s="21" t="n">
        <v>9</v>
      </c>
      <c r="I921" s="21" t="n">
        <v>4.5</v>
      </c>
      <c r="J921" s="22" t="n">
        <v>0</v>
      </c>
      <c r="K921" s="21" t="n">
        <f aca="false">G921*H921*(1-J921)</f>
        <v>189</v>
      </c>
      <c r="L921" s="21" t="n">
        <f aca="false">G921*I921</f>
        <v>94.5</v>
      </c>
      <c r="M921" s="21" t="n">
        <f aca="false">K921-L921</f>
        <v>94.5</v>
      </c>
      <c r="N921" s="11" t="str">
        <f aca="false">TEXT(B921,"mmm")</f>
        <v>Sep</v>
      </c>
    </row>
    <row r="922" customFormat="false" ht="15" hidden="false" customHeight="false" outlineLevel="0" collapsed="false">
      <c r="A922" s="11" t="s">
        <v>983</v>
      </c>
      <c r="B922" s="20" t="n">
        <v>45908</v>
      </c>
      <c r="C922" s="11" t="s">
        <v>20</v>
      </c>
      <c r="D922" s="11" t="s">
        <v>37</v>
      </c>
      <c r="E922" s="11" t="s">
        <v>49</v>
      </c>
      <c r="F922" s="11" t="s">
        <v>42</v>
      </c>
      <c r="G922" s="11" t="n">
        <v>37</v>
      </c>
      <c r="H922" s="21" t="n">
        <v>28</v>
      </c>
      <c r="I922" s="21" t="n">
        <v>17</v>
      </c>
      <c r="J922" s="22" t="n">
        <v>0.15</v>
      </c>
      <c r="K922" s="21" t="n">
        <f aca="false">G922*H922*(1-J922)</f>
        <v>880.6</v>
      </c>
      <c r="L922" s="21" t="n">
        <f aca="false">G922*I922</f>
        <v>629</v>
      </c>
      <c r="M922" s="21" t="n">
        <f aca="false">K922-L922</f>
        <v>251.6</v>
      </c>
      <c r="N922" s="11" t="str">
        <f aca="false">TEXT(B922,"mmm")</f>
        <v>Sep</v>
      </c>
    </row>
    <row r="923" customFormat="false" ht="15" hidden="false" customHeight="false" outlineLevel="0" collapsed="false">
      <c r="A923" s="11" t="s">
        <v>984</v>
      </c>
      <c r="B923" s="20" t="n">
        <v>45909</v>
      </c>
      <c r="C923" s="11" t="s">
        <v>18</v>
      </c>
      <c r="D923" s="11" t="s">
        <v>37</v>
      </c>
      <c r="E923" s="11" t="s">
        <v>52</v>
      </c>
      <c r="F923" s="11" t="s">
        <v>42</v>
      </c>
      <c r="G923" s="11" t="n">
        <v>36</v>
      </c>
      <c r="H923" s="21" t="n">
        <v>12</v>
      </c>
      <c r="I923" s="21" t="n">
        <v>6</v>
      </c>
      <c r="J923" s="22" t="n">
        <v>0</v>
      </c>
      <c r="K923" s="21" t="n">
        <f aca="false">G923*H923*(1-J923)</f>
        <v>432</v>
      </c>
      <c r="L923" s="21" t="n">
        <f aca="false">G923*I923</f>
        <v>216</v>
      </c>
      <c r="M923" s="21" t="n">
        <f aca="false">K923-L923</f>
        <v>216</v>
      </c>
      <c r="N923" s="11" t="str">
        <f aca="false">TEXT(B923,"mmm")</f>
        <v>Sep</v>
      </c>
    </row>
    <row r="924" customFormat="false" ht="15" hidden="false" customHeight="false" outlineLevel="0" collapsed="false">
      <c r="A924" s="11" t="s">
        <v>985</v>
      </c>
      <c r="B924" s="20" t="n">
        <v>45909</v>
      </c>
      <c r="C924" s="11" t="s">
        <v>24</v>
      </c>
      <c r="D924" s="11" t="s">
        <v>37</v>
      </c>
      <c r="E924" s="11" t="s">
        <v>52</v>
      </c>
      <c r="F924" s="11" t="s">
        <v>42</v>
      </c>
      <c r="G924" s="11" t="n">
        <v>31</v>
      </c>
      <c r="H924" s="21" t="n">
        <v>12</v>
      </c>
      <c r="I924" s="21" t="n">
        <v>6</v>
      </c>
      <c r="J924" s="22" t="n">
        <v>0.05</v>
      </c>
      <c r="K924" s="21" t="n">
        <f aca="false">G924*H924*(1-J924)</f>
        <v>353.4</v>
      </c>
      <c r="L924" s="21" t="n">
        <f aca="false">G924*I924</f>
        <v>186</v>
      </c>
      <c r="M924" s="21" t="n">
        <f aca="false">K924-L924</f>
        <v>167.4</v>
      </c>
      <c r="N924" s="11" t="str">
        <f aca="false">TEXT(B924,"mmm")</f>
        <v>Sep</v>
      </c>
    </row>
    <row r="925" customFormat="false" ht="15" hidden="false" customHeight="false" outlineLevel="0" collapsed="false">
      <c r="A925" s="11" t="s">
        <v>986</v>
      </c>
      <c r="B925" s="20" t="n">
        <v>45909</v>
      </c>
      <c r="C925" s="11" t="s">
        <v>20</v>
      </c>
      <c r="D925" s="11" t="s">
        <v>37</v>
      </c>
      <c r="E925" s="11" t="s">
        <v>52</v>
      </c>
      <c r="F925" s="11" t="s">
        <v>44</v>
      </c>
      <c r="G925" s="11" t="n">
        <v>9</v>
      </c>
      <c r="H925" s="21" t="n">
        <v>12</v>
      </c>
      <c r="I925" s="21" t="n">
        <v>6</v>
      </c>
      <c r="J925" s="22" t="n">
        <v>0</v>
      </c>
      <c r="K925" s="21" t="n">
        <f aca="false">G925*H925*(1-J925)</f>
        <v>108</v>
      </c>
      <c r="L925" s="21" t="n">
        <f aca="false">G925*I925</f>
        <v>54</v>
      </c>
      <c r="M925" s="21" t="n">
        <f aca="false">K925-L925</f>
        <v>54</v>
      </c>
      <c r="N925" s="11" t="str">
        <f aca="false">TEXT(B925,"mmm")</f>
        <v>Sep</v>
      </c>
    </row>
    <row r="926" customFormat="false" ht="15" hidden="false" customHeight="false" outlineLevel="0" collapsed="false">
      <c r="A926" s="11" t="s">
        <v>987</v>
      </c>
      <c r="B926" s="20" t="n">
        <v>45909</v>
      </c>
      <c r="C926" s="11" t="s">
        <v>22</v>
      </c>
      <c r="D926" s="11" t="s">
        <v>33</v>
      </c>
      <c r="E926" s="11" t="s">
        <v>48</v>
      </c>
      <c r="F926" s="11" t="s">
        <v>44</v>
      </c>
      <c r="G926" s="11" t="n">
        <v>1</v>
      </c>
      <c r="H926" s="21" t="n">
        <v>520</v>
      </c>
      <c r="I926" s="21" t="n">
        <v>415</v>
      </c>
      <c r="J926" s="22" t="n">
        <v>0.1</v>
      </c>
      <c r="K926" s="21" t="n">
        <f aca="false">G926*H926*(1-J926)</f>
        <v>468</v>
      </c>
      <c r="L926" s="21" t="n">
        <f aca="false">G926*I926</f>
        <v>415</v>
      </c>
      <c r="M926" s="21" t="n">
        <f aca="false">K926-L926</f>
        <v>53</v>
      </c>
      <c r="N926" s="11" t="str">
        <f aca="false">TEXT(B926,"mmm")</f>
        <v>Sep</v>
      </c>
    </row>
    <row r="927" customFormat="false" ht="15" hidden="false" customHeight="false" outlineLevel="0" collapsed="false">
      <c r="A927" s="11" t="s">
        <v>988</v>
      </c>
      <c r="B927" s="20" t="n">
        <v>45909</v>
      </c>
      <c r="C927" s="11" t="s">
        <v>18</v>
      </c>
      <c r="D927" s="11" t="s">
        <v>33</v>
      </c>
      <c r="E927" s="11" t="s">
        <v>50</v>
      </c>
      <c r="F927" s="11" t="s">
        <v>42</v>
      </c>
      <c r="G927" s="11" t="n">
        <v>3</v>
      </c>
      <c r="H927" s="21" t="n">
        <v>780</v>
      </c>
      <c r="I927" s="21" t="n">
        <v>600</v>
      </c>
      <c r="J927" s="22" t="n">
        <v>0.15</v>
      </c>
      <c r="K927" s="21" t="n">
        <f aca="false">G927*H927*(1-J927)</f>
        <v>1989</v>
      </c>
      <c r="L927" s="21" t="n">
        <f aca="false">G927*I927</f>
        <v>1800</v>
      </c>
      <c r="M927" s="21" t="n">
        <f aca="false">K927-L927</f>
        <v>189</v>
      </c>
      <c r="N927" s="11" t="str">
        <f aca="false">TEXT(B927,"mmm")</f>
        <v>Sep</v>
      </c>
    </row>
    <row r="928" customFormat="false" ht="15" hidden="false" customHeight="false" outlineLevel="0" collapsed="false">
      <c r="A928" s="11" t="s">
        <v>989</v>
      </c>
      <c r="B928" s="20" t="n">
        <v>45909</v>
      </c>
      <c r="C928" s="11" t="s">
        <v>20</v>
      </c>
      <c r="D928" s="11" t="s">
        <v>33</v>
      </c>
      <c r="E928" s="11" t="s">
        <v>51</v>
      </c>
      <c r="F928" s="11" t="s">
        <v>44</v>
      </c>
      <c r="G928" s="11" t="n">
        <v>3</v>
      </c>
      <c r="H928" s="21" t="n">
        <v>90</v>
      </c>
      <c r="I928" s="21" t="n">
        <v>58</v>
      </c>
      <c r="J928" s="22" t="n">
        <v>0.05</v>
      </c>
      <c r="K928" s="21" t="n">
        <f aca="false">G928*H928*(1-J928)</f>
        <v>256.5</v>
      </c>
      <c r="L928" s="21" t="n">
        <f aca="false">G928*I928</f>
        <v>174</v>
      </c>
      <c r="M928" s="21" t="n">
        <f aca="false">K928-L928</f>
        <v>82.5</v>
      </c>
      <c r="N928" s="11" t="str">
        <f aca="false">TEXT(B928,"mmm")</f>
        <v>Sep</v>
      </c>
    </row>
    <row r="929" customFormat="false" ht="15" hidden="false" customHeight="false" outlineLevel="0" collapsed="false">
      <c r="A929" s="11" t="s">
        <v>990</v>
      </c>
      <c r="B929" s="20" t="n">
        <v>45910</v>
      </c>
      <c r="C929" s="11" t="s">
        <v>22</v>
      </c>
      <c r="D929" s="11" t="s">
        <v>37</v>
      </c>
      <c r="E929" s="11" t="s">
        <v>52</v>
      </c>
      <c r="F929" s="11" t="s">
        <v>42</v>
      </c>
      <c r="G929" s="11" t="n">
        <v>14</v>
      </c>
      <c r="H929" s="21" t="n">
        <v>12</v>
      </c>
      <c r="I929" s="21" t="n">
        <v>6</v>
      </c>
      <c r="J929" s="22" t="n">
        <v>0.05</v>
      </c>
      <c r="K929" s="21" t="n">
        <f aca="false">G929*H929*(1-J929)</f>
        <v>159.6</v>
      </c>
      <c r="L929" s="21" t="n">
        <f aca="false">G929*I929</f>
        <v>84</v>
      </c>
      <c r="M929" s="21" t="n">
        <f aca="false">K929-L929</f>
        <v>75.6</v>
      </c>
      <c r="N929" s="11" t="str">
        <f aca="false">TEXT(B929,"mmm")</f>
        <v>Sep</v>
      </c>
    </row>
    <row r="930" customFormat="false" ht="15" hidden="false" customHeight="false" outlineLevel="0" collapsed="false">
      <c r="A930" s="11" t="s">
        <v>991</v>
      </c>
      <c r="B930" s="20" t="n">
        <v>45910</v>
      </c>
      <c r="C930" s="11" t="s">
        <v>18</v>
      </c>
      <c r="D930" s="11" t="s">
        <v>35</v>
      </c>
      <c r="E930" s="11" t="s">
        <v>56</v>
      </c>
      <c r="F930" s="11" t="s">
        <v>44</v>
      </c>
      <c r="G930" s="11" t="n">
        <v>1</v>
      </c>
      <c r="H930" s="21" t="n">
        <v>110</v>
      </c>
      <c r="I930" s="21" t="n">
        <v>62</v>
      </c>
      <c r="J930" s="22" t="n">
        <v>0.1</v>
      </c>
      <c r="K930" s="21" t="n">
        <f aca="false">G930*H930*(1-J930)</f>
        <v>99</v>
      </c>
      <c r="L930" s="21" t="n">
        <f aca="false">G930*I930</f>
        <v>62</v>
      </c>
      <c r="M930" s="21" t="n">
        <f aca="false">K930-L930</f>
        <v>37</v>
      </c>
      <c r="N930" s="11" t="str">
        <f aca="false">TEXT(B930,"mmm")</f>
        <v>Sep</v>
      </c>
    </row>
    <row r="931" customFormat="false" ht="15" hidden="false" customHeight="false" outlineLevel="0" collapsed="false">
      <c r="A931" s="11" t="s">
        <v>992</v>
      </c>
      <c r="B931" s="20" t="n">
        <v>45910</v>
      </c>
      <c r="C931" s="11" t="s">
        <v>22</v>
      </c>
      <c r="D931" s="11" t="s">
        <v>33</v>
      </c>
      <c r="E931" s="11" t="s">
        <v>51</v>
      </c>
      <c r="F931" s="11" t="s">
        <v>44</v>
      </c>
      <c r="G931" s="11" t="n">
        <v>1</v>
      </c>
      <c r="H931" s="21" t="n">
        <v>90</v>
      </c>
      <c r="I931" s="21" t="n">
        <v>58</v>
      </c>
      <c r="J931" s="22" t="n">
        <v>0.05</v>
      </c>
      <c r="K931" s="21" t="n">
        <f aca="false">G931*H931*(1-J931)</f>
        <v>85.5</v>
      </c>
      <c r="L931" s="21" t="n">
        <f aca="false">G931*I931</f>
        <v>58</v>
      </c>
      <c r="M931" s="21" t="n">
        <f aca="false">K931-L931</f>
        <v>27.5</v>
      </c>
      <c r="N931" s="11" t="str">
        <f aca="false">TEXT(B931,"mmm")</f>
        <v>Sep</v>
      </c>
    </row>
    <row r="932" customFormat="false" ht="15" hidden="false" customHeight="false" outlineLevel="0" collapsed="false">
      <c r="A932" s="11" t="s">
        <v>993</v>
      </c>
      <c r="B932" s="20" t="n">
        <v>45910</v>
      </c>
      <c r="C932" s="11" t="s">
        <v>18</v>
      </c>
      <c r="D932" s="11" t="s">
        <v>33</v>
      </c>
      <c r="E932" s="11" t="s">
        <v>50</v>
      </c>
      <c r="F932" s="11" t="s">
        <v>42</v>
      </c>
      <c r="G932" s="11" t="n">
        <v>2</v>
      </c>
      <c r="H932" s="21" t="n">
        <v>780</v>
      </c>
      <c r="I932" s="21" t="n">
        <v>600</v>
      </c>
      <c r="J932" s="22" t="n">
        <v>0.1</v>
      </c>
      <c r="K932" s="21" t="n">
        <f aca="false">G932*H932*(1-J932)</f>
        <v>1404</v>
      </c>
      <c r="L932" s="21" t="n">
        <f aca="false">G932*I932</f>
        <v>1200</v>
      </c>
      <c r="M932" s="21" t="n">
        <f aca="false">K932-L932</f>
        <v>204</v>
      </c>
      <c r="N932" s="11" t="str">
        <f aca="false">TEXT(B932,"mmm")</f>
        <v>Sep</v>
      </c>
    </row>
    <row r="933" customFormat="false" ht="15" hidden="false" customHeight="false" outlineLevel="0" collapsed="false">
      <c r="A933" s="11" t="s">
        <v>994</v>
      </c>
      <c r="B933" s="20" t="n">
        <v>45910</v>
      </c>
      <c r="C933" s="11" t="s">
        <v>22</v>
      </c>
      <c r="D933" s="11" t="s">
        <v>33</v>
      </c>
      <c r="E933" s="11" t="s">
        <v>48</v>
      </c>
      <c r="F933" s="11" t="s">
        <v>45</v>
      </c>
      <c r="G933" s="11" t="n">
        <v>2</v>
      </c>
      <c r="H933" s="21" t="n">
        <v>520</v>
      </c>
      <c r="I933" s="21" t="n">
        <v>415</v>
      </c>
      <c r="J933" s="22" t="n">
        <v>0.15</v>
      </c>
      <c r="K933" s="21" t="n">
        <f aca="false">G933*H933*(1-J933)</f>
        <v>884</v>
      </c>
      <c r="L933" s="21" t="n">
        <f aca="false">G933*I933</f>
        <v>830</v>
      </c>
      <c r="M933" s="21" t="n">
        <f aca="false">K933-L933</f>
        <v>54</v>
      </c>
      <c r="N933" s="11" t="str">
        <f aca="false">TEXT(B933,"mmm")</f>
        <v>Sep</v>
      </c>
    </row>
    <row r="934" customFormat="false" ht="15" hidden="false" customHeight="false" outlineLevel="0" collapsed="false">
      <c r="A934" s="11" t="s">
        <v>995</v>
      </c>
      <c r="B934" s="20" t="n">
        <v>45910</v>
      </c>
      <c r="C934" s="11" t="s">
        <v>24</v>
      </c>
      <c r="D934" s="11" t="s">
        <v>33</v>
      </c>
      <c r="E934" s="11" t="s">
        <v>51</v>
      </c>
      <c r="F934" s="11" t="s">
        <v>44</v>
      </c>
      <c r="G934" s="11" t="n">
        <v>1</v>
      </c>
      <c r="H934" s="21" t="n">
        <v>90</v>
      </c>
      <c r="I934" s="21" t="n">
        <v>58</v>
      </c>
      <c r="J934" s="22" t="n">
        <v>0</v>
      </c>
      <c r="K934" s="21" t="n">
        <f aca="false">G934*H934*(1-J934)</f>
        <v>90</v>
      </c>
      <c r="L934" s="21" t="n">
        <f aca="false">G934*I934</f>
        <v>58</v>
      </c>
      <c r="M934" s="21" t="n">
        <f aca="false">K934-L934</f>
        <v>32</v>
      </c>
      <c r="N934" s="11" t="str">
        <f aca="false">TEXT(B934,"mmm")</f>
        <v>Sep</v>
      </c>
    </row>
    <row r="935" customFormat="false" ht="15" hidden="false" customHeight="false" outlineLevel="0" collapsed="false">
      <c r="A935" s="11" t="s">
        <v>996</v>
      </c>
      <c r="B935" s="20" t="n">
        <v>45910</v>
      </c>
      <c r="C935" s="11" t="s">
        <v>22</v>
      </c>
      <c r="D935" s="11" t="s">
        <v>37</v>
      </c>
      <c r="E935" s="11" t="s">
        <v>53</v>
      </c>
      <c r="F935" s="11" t="s">
        <v>42</v>
      </c>
      <c r="G935" s="11" t="n">
        <v>18</v>
      </c>
      <c r="H935" s="21" t="n">
        <v>9</v>
      </c>
      <c r="I935" s="21" t="n">
        <v>4.5</v>
      </c>
      <c r="J935" s="22" t="n">
        <v>0.15</v>
      </c>
      <c r="K935" s="21" t="n">
        <f aca="false">G935*H935*(1-J935)</f>
        <v>137.7</v>
      </c>
      <c r="L935" s="21" t="n">
        <f aca="false">G935*I935</f>
        <v>81</v>
      </c>
      <c r="M935" s="21" t="n">
        <f aca="false">K935-L935</f>
        <v>56.7</v>
      </c>
      <c r="N935" s="11" t="str">
        <f aca="false">TEXT(B935,"mmm")</f>
        <v>Sep</v>
      </c>
    </row>
    <row r="936" customFormat="false" ht="15" hidden="false" customHeight="false" outlineLevel="0" collapsed="false">
      <c r="A936" s="11" t="s">
        <v>997</v>
      </c>
      <c r="B936" s="20" t="n">
        <v>45911</v>
      </c>
      <c r="C936" s="11" t="s">
        <v>18</v>
      </c>
      <c r="D936" s="11" t="s">
        <v>37</v>
      </c>
      <c r="E936" s="11" t="s">
        <v>49</v>
      </c>
      <c r="F936" s="11" t="s">
        <v>45</v>
      </c>
      <c r="G936" s="11" t="n">
        <v>96</v>
      </c>
      <c r="H936" s="21" t="n">
        <v>28</v>
      </c>
      <c r="I936" s="21" t="n">
        <v>17</v>
      </c>
      <c r="J936" s="22" t="n">
        <v>0.2</v>
      </c>
      <c r="K936" s="21" t="n">
        <f aca="false">G936*H936*(1-J936)</f>
        <v>2150.4</v>
      </c>
      <c r="L936" s="21" t="n">
        <f aca="false">G936*I936</f>
        <v>1632</v>
      </c>
      <c r="M936" s="21" t="n">
        <f aca="false">K936-L936</f>
        <v>518.4</v>
      </c>
      <c r="N936" s="11" t="str">
        <f aca="false">TEXT(B936,"mmm")</f>
        <v>Sep</v>
      </c>
    </row>
    <row r="937" customFormat="false" ht="15" hidden="false" customHeight="false" outlineLevel="0" collapsed="false">
      <c r="A937" s="11" t="s">
        <v>998</v>
      </c>
      <c r="B937" s="20" t="n">
        <v>45911</v>
      </c>
      <c r="C937" s="11" t="s">
        <v>20</v>
      </c>
      <c r="D937" s="11" t="s">
        <v>37</v>
      </c>
      <c r="E937" s="11" t="s">
        <v>52</v>
      </c>
      <c r="F937" s="11" t="s">
        <v>42</v>
      </c>
      <c r="G937" s="11" t="n">
        <v>34</v>
      </c>
      <c r="H937" s="21" t="n">
        <v>12</v>
      </c>
      <c r="I937" s="21" t="n">
        <v>6</v>
      </c>
      <c r="J937" s="22" t="n">
        <v>0.05</v>
      </c>
      <c r="K937" s="21" t="n">
        <f aca="false">G937*H937*(1-J937)</f>
        <v>387.6</v>
      </c>
      <c r="L937" s="21" t="n">
        <f aca="false">G937*I937</f>
        <v>204</v>
      </c>
      <c r="M937" s="21" t="n">
        <f aca="false">K937-L937</f>
        <v>183.6</v>
      </c>
      <c r="N937" s="11" t="str">
        <f aca="false">TEXT(B937,"mmm")</f>
        <v>Sep</v>
      </c>
    </row>
    <row r="938" customFormat="false" ht="15" hidden="false" customHeight="false" outlineLevel="0" collapsed="false">
      <c r="A938" s="11" t="s">
        <v>999</v>
      </c>
      <c r="B938" s="20" t="n">
        <v>45911</v>
      </c>
      <c r="C938" s="11" t="s">
        <v>20</v>
      </c>
      <c r="D938" s="11" t="s">
        <v>33</v>
      </c>
      <c r="E938" s="11" t="s">
        <v>51</v>
      </c>
      <c r="F938" s="11" t="s">
        <v>45</v>
      </c>
      <c r="G938" s="11" t="n">
        <v>12</v>
      </c>
      <c r="H938" s="21" t="n">
        <v>90</v>
      </c>
      <c r="I938" s="21" t="n">
        <v>58</v>
      </c>
      <c r="J938" s="22" t="n">
        <v>0.1</v>
      </c>
      <c r="K938" s="21" t="n">
        <f aca="false">G938*H938*(1-J938)</f>
        <v>972</v>
      </c>
      <c r="L938" s="21" t="n">
        <f aca="false">G938*I938</f>
        <v>696</v>
      </c>
      <c r="M938" s="21" t="n">
        <f aca="false">K938-L938</f>
        <v>276</v>
      </c>
      <c r="N938" s="11" t="str">
        <f aca="false">TEXT(B938,"mmm")</f>
        <v>Sep</v>
      </c>
    </row>
    <row r="939" customFormat="false" ht="15" hidden="false" customHeight="false" outlineLevel="0" collapsed="false">
      <c r="A939" s="11" t="s">
        <v>1000</v>
      </c>
      <c r="B939" s="20" t="n">
        <v>45911</v>
      </c>
      <c r="C939" s="11" t="s">
        <v>18</v>
      </c>
      <c r="D939" s="11" t="s">
        <v>37</v>
      </c>
      <c r="E939" s="11" t="s">
        <v>52</v>
      </c>
      <c r="F939" s="11" t="s">
        <v>42</v>
      </c>
      <c r="G939" s="11" t="n">
        <v>11</v>
      </c>
      <c r="H939" s="21" t="n">
        <v>12</v>
      </c>
      <c r="I939" s="21" t="n">
        <v>6</v>
      </c>
      <c r="J939" s="22" t="n">
        <v>0.1</v>
      </c>
      <c r="K939" s="21" t="n">
        <f aca="false">G939*H939*(1-J939)</f>
        <v>118.8</v>
      </c>
      <c r="L939" s="21" t="n">
        <f aca="false">G939*I939</f>
        <v>66</v>
      </c>
      <c r="M939" s="21" t="n">
        <f aca="false">K939-L939</f>
        <v>52.8</v>
      </c>
      <c r="N939" s="11" t="str">
        <f aca="false">TEXT(B939,"mmm")</f>
        <v>Sep</v>
      </c>
    </row>
    <row r="940" customFormat="false" ht="15" hidden="false" customHeight="false" outlineLevel="0" collapsed="false">
      <c r="A940" s="11" t="s">
        <v>1001</v>
      </c>
      <c r="B940" s="20" t="n">
        <v>45911</v>
      </c>
      <c r="C940" s="11" t="s">
        <v>20</v>
      </c>
      <c r="D940" s="11" t="s">
        <v>37</v>
      </c>
      <c r="E940" s="11" t="s">
        <v>49</v>
      </c>
      <c r="F940" s="11" t="s">
        <v>44</v>
      </c>
      <c r="G940" s="11" t="n">
        <v>2</v>
      </c>
      <c r="H940" s="21" t="n">
        <v>28</v>
      </c>
      <c r="I940" s="21" t="n">
        <v>17</v>
      </c>
      <c r="J940" s="22" t="n">
        <v>0.1</v>
      </c>
      <c r="K940" s="21" t="n">
        <f aca="false">G940*H940*(1-J940)</f>
        <v>50.4</v>
      </c>
      <c r="L940" s="21" t="n">
        <f aca="false">G940*I940</f>
        <v>34</v>
      </c>
      <c r="M940" s="21" t="n">
        <f aca="false">K940-L940</f>
        <v>16.4</v>
      </c>
      <c r="N940" s="11" t="str">
        <f aca="false">TEXT(B940,"mmm")</f>
        <v>Sep</v>
      </c>
    </row>
    <row r="941" customFormat="false" ht="15" hidden="false" customHeight="false" outlineLevel="0" collapsed="false">
      <c r="A941" s="11" t="s">
        <v>1002</v>
      </c>
      <c r="B941" s="20" t="n">
        <v>45911</v>
      </c>
      <c r="C941" s="11" t="s">
        <v>18</v>
      </c>
      <c r="D941" s="11" t="s">
        <v>37</v>
      </c>
      <c r="E941" s="11" t="s">
        <v>53</v>
      </c>
      <c r="F941" s="11" t="s">
        <v>44</v>
      </c>
      <c r="G941" s="11" t="n">
        <v>7</v>
      </c>
      <c r="H941" s="21" t="n">
        <v>9</v>
      </c>
      <c r="I941" s="21" t="n">
        <v>4.5</v>
      </c>
      <c r="J941" s="22" t="n">
        <v>0</v>
      </c>
      <c r="K941" s="21" t="n">
        <f aca="false">G941*H941*(1-J941)</f>
        <v>63</v>
      </c>
      <c r="L941" s="21" t="n">
        <f aca="false">G941*I941</f>
        <v>31.5</v>
      </c>
      <c r="M941" s="21" t="n">
        <f aca="false">K941-L941</f>
        <v>31.5</v>
      </c>
      <c r="N941" s="11" t="str">
        <f aca="false">TEXT(B941,"mmm")</f>
        <v>Sep</v>
      </c>
    </row>
    <row r="942" customFormat="false" ht="15" hidden="false" customHeight="false" outlineLevel="0" collapsed="false">
      <c r="A942" s="11" t="s">
        <v>1003</v>
      </c>
      <c r="B942" s="20" t="n">
        <v>45911</v>
      </c>
      <c r="C942" s="11" t="s">
        <v>18</v>
      </c>
      <c r="D942" s="11" t="s">
        <v>35</v>
      </c>
      <c r="E942" s="11" t="s">
        <v>54</v>
      </c>
      <c r="F942" s="11" t="s">
        <v>44</v>
      </c>
      <c r="G942" s="11" t="n">
        <v>3</v>
      </c>
      <c r="H942" s="21" t="n">
        <v>320</v>
      </c>
      <c r="I942" s="21" t="n">
        <v>185</v>
      </c>
      <c r="J942" s="22" t="n">
        <v>0.1</v>
      </c>
      <c r="K942" s="21" t="n">
        <f aca="false">G942*H942*(1-J942)</f>
        <v>864</v>
      </c>
      <c r="L942" s="21" t="n">
        <f aca="false">G942*I942</f>
        <v>555</v>
      </c>
      <c r="M942" s="21" t="n">
        <f aca="false">K942-L942</f>
        <v>309</v>
      </c>
      <c r="N942" s="11" t="str">
        <f aca="false">TEXT(B942,"mmm")</f>
        <v>Sep</v>
      </c>
    </row>
    <row r="943" customFormat="false" ht="15" hidden="false" customHeight="false" outlineLevel="0" collapsed="false">
      <c r="A943" s="11" t="s">
        <v>1004</v>
      </c>
      <c r="B943" s="20" t="n">
        <v>45912</v>
      </c>
      <c r="C943" s="11" t="s">
        <v>18</v>
      </c>
      <c r="D943" s="11" t="s">
        <v>37</v>
      </c>
      <c r="E943" s="11" t="s">
        <v>52</v>
      </c>
      <c r="F943" s="11" t="s">
        <v>42</v>
      </c>
      <c r="G943" s="11" t="n">
        <v>5</v>
      </c>
      <c r="H943" s="21" t="n">
        <v>12</v>
      </c>
      <c r="I943" s="21" t="n">
        <v>6</v>
      </c>
      <c r="J943" s="22" t="n">
        <v>0.1</v>
      </c>
      <c r="K943" s="21" t="n">
        <f aca="false">G943*H943*(1-J943)</f>
        <v>54</v>
      </c>
      <c r="L943" s="21" t="n">
        <f aca="false">G943*I943</f>
        <v>30</v>
      </c>
      <c r="M943" s="21" t="n">
        <f aca="false">K943-L943</f>
        <v>24</v>
      </c>
      <c r="N943" s="11" t="str">
        <f aca="false">TEXT(B943,"mmm")</f>
        <v>Sep</v>
      </c>
    </row>
    <row r="944" customFormat="false" ht="15" hidden="false" customHeight="false" outlineLevel="0" collapsed="false">
      <c r="A944" s="11" t="s">
        <v>1005</v>
      </c>
      <c r="B944" s="20" t="n">
        <v>45912</v>
      </c>
      <c r="C944" s="11" t="s">
        <v>20</v>
      </c>
      <c r="D944" s="11" t="s">
        <v>35</v>
      </c>
      <c r="E944" s="11" t="s">
        <v>54</v>
      </c>
      <c r="F944" s="11" t="s">
        <v>42</v>
      </c>
      <c r="G944" s="11" t="n">
        <v>1</v>
      </c>
      <c r="H944" s="21" t="n">
        <v>320</v>
      </c>
      <c r="I944" s="21" t="n">
        <v>185</v>
      </c>
      <c r="J944" s="22" t="n">
        <v>0.05</v>
      </c>
      <c r="K944" s="21" t="n">
        <f aca="false">G944*H944*(1-J944)</f>
        <v>304</v>
      </c>
      <c r="L944" s="21" t="n">
        <f aca="false">G944*I944</f>
        <v>185</v>
      </c>
      <c r="M944" s="21" t="n">
        <f aca="false">K944-L944</f>
        <v>119</v>
      </c>
      <c r="N944" s="11" t="str">
        <f aca="false">TEXT(B944,"mmm")</f>
        <v>Sep</v>
      </c>
    </row>
    <row r="945" customFormat="false" ht="15" hidden="false" customHeight="false" outlineLevel="0" collapsed="false">
      <c r="A945" s="11" t="s">
        <v>1006</v>
      </c>
      <c r="B945" s="20" t="n">
        <v>45912</v>
      </c>
      <c r="C945" s="11" t="s">
        <v>20</v>
      </c>
      <c r="D945" s="11" t="s">
        <v>35</v>
      </c>
      <c r="E945" s="11" t="s">
        <v>54</v>
      </c>
      <c r="F945" s="11" t="s">
        <v>42</v>
      </c>
      <c r="G945" s="11" t="n">
        <v>2</v>
      </c>
      <c r="H945" s="21" t="n">
        <v>320</v>
      </c>
      <c r="I945" s="21" t="n">
        <v>185</v>
      </c>
      <c r="J945" s="22" t="n">
        <v>0.1</v>
      </c>
      <c r="K945" s="21" t="n">
        <f aca="false">G945*H945*(1-J945)</f>
        <v>576</v>
      </c>
      <c r="L945" s="21" t="n">
        <f aca="false">G945*I945</f>
        <v>370</v>
      </c>
      <c r="M945" s="21" t="n">
        <f aca="false">K945-L945</f>
        <v>206</v>
      </c>
      <c r="N945" s="11" t="str">
        <f aca="false">TEXT(B945,"mmm")</f>
        <v>Sep</v>
      </c>
    </row>
    <row r="946" customFormat="false" ht="15" hidden="false" customHeight="false" outlineLevel="0" collapsed="false">
      <c r="A946" s="11" t="s">
        <v>1007</v>
      </c>
      <c r="B946" s="20" t="n">
        <v>45912</v>
      </c>
      <c r="C946" s="11" t="s">
        <v>22</v>
      </c>
      <c r="D946" s="11" t="s">
        <v>37</v>
      </c>
      <c r="E946" s="11" t="s">
        <v>52</v>
      </c>
      <c r="F946" s="11" t="s">
        <v>42</v>
      </c>
      <c r="G946" s="11" t="n">
        <v>35</v>
      </c>
      <c r="H946" s="21" t="n">
        <v>12</v>
      </c>
      <c r="I946" s="21" t="n">
        <v>6</v>
      </c>
      <c r="J946" s="22" t="n">
        <v>0.1</v>
      </c>
      <c r="K946" s="21" t="n">
        <f aca="false">G946*H946*(1-J946)</f>
        <v>378</v>
      </c>
      <c r="L946" s="21" t="n">
        <f aca="false">G946*I946</f>
        <v>210</v>
      </c>
      <c r="M946" s="21" t="n">
        <f aca="false">K946-L946</f>
        <v>168</v>
      </c>
      <c r="N946" s="11" t="str">
        <f aca="false">TEXT(B946,"mmm")</f>
        <v>Sep</v>
      </c>
    </row>
    <row r="947" customFormat="false" ht="15" hidden="false" customHeight="false" outlineLevel="0" collapsed="false">
      <c r="A947" s="11" t="s">
        <v>1008</v>
      </c>
      <c r="B947" s="20" t="n">
        <v>45912</v>
      </c>
      <c r="C947" s="11" t="s">
        <v>22</v>
      </c>
      <c r="D947" s="11" t="s">
        <v>37</v>
      </c>
      <c r="E947" s="11" t="s">
        <v>52</v>
      </c>
      <c r="F947" s="11" t="s">
        <v>42</v>
      </c>
      <c r="G947" s="11" t="n">
        <v>32</v>
      </c>
      <c r="H947" s="21" t="n">
        <v>12</v>
      </c>
      <c r="I947" s="21" t="n">
        <v>6</v>
      </c>
      <c r="J947" s="22" t="n">
        <v>0</v>
      </c>
      <c r="K947" s="21" t="n">
        <f aca="false">G947*H947*(1-J947)</f>
        <v>384</v>
      </c>
      <c r="L947" s="21" t="n">
        <f aca="false">G947*I947</f>
        <v>192</v>
      </c>
      <c r="M947" s="21" t="n">
        <f aca="false">K947-L947</f>
        <v>192</v>
      </c>
      <c r="N947" s="11" t="str">
        <f aca="false">TEXT(B947,"mmm")</f>
        <v>Sep</v>
      </c>
    </row>
    <row r="948" customFormat="false" ht="15" hidden="false" customHeight="false" outlineLevel="0" collapsed="false">
      <c r="A948" s="11" t="s">
        <v>1009</v>
      </c>
      <c r="B948" s="20" t="n">
        <v>45912</v>
      </c>
      <c r="C948" s="11" t="s">
        <v>18</v>
      </c>
      <c r="D948" s="11" t="s">
        <v>37</v>
      </c>
      <c r="E948" s="11" t="s">
        <v>49</v>
      </c>
      <c r="F948" s="11" t="s">
        <v>42</v>
      </c>
      <c r="G948" s="11" t="n">
        <v>5</v>
      </c>
      <c r="H948" s="21" t="n">
        <v>28</v>
      </c>
      <c r="I948" s="21" t="n">
        <v>17</v>
      </c>
      <c r="J948" s="22" t="n">
        <v>0.05</v>
      </c>
      <c r="K948" s="21" t="n">
        <f aca="false">G948*H948*(1-J948)</f>
        <v>133</v>
      </c>
      <c r="L948" s="21" t="n">
        <f aca="false">G948*I948</f>
        <v>85</v>
      </c>
      <c r="M948" s="21" t="n">
        <f aca="false">K948-L948</f>
        <v>48</v>
      </c>
      <c r="N948" s="11" t="str">
        <f aca="false">TEXT(B948,"mmm")</f>
        <v>Sep</v>
      </c>
    </row>
    <row r="949" customFormat="false" ht="15" hidden="false" customHeight="false" outlineLevel="0" collapsed="false">
      <c r="A949" s="11" t="s">
        <v>1010</v>
      </c>
      <c r="B949" s="20" t="n">
        <v>45912</v>
      </c>
      <c r="C949" s="11" t="s">
        <v>18</v>
      </c>
      <c r="D949" s="11" t="s">
        <v>33</v>
      </c>
      <c r="E949" s="11" t="s">
        <v>48</v>
      </c>
      <c r="F949" s="11" t="s">
        <v>42</v>
      </c>
      <c r="G949" s="11" t="n">
        <v>2</v>
      </c>
      <c r="H949" s="21" t="n">
        <v>520</v>
      </c>
      <c r="I949" s="21" t="n">
        <v>415</v>
      </c>
      <c r="J949" s="22" t="n">
        <v>0</v>
      </c>
      <c r="K949" s="21" t="n">
        <f aca="false">G949*H949*(1-J949)</f>
        <v>1040</v>
      </c>
      <c r="L949" s="21" t="n">
        <f aca="false">G949*I949</f>
        <v>830</v>
      </c>
      <c r="M949" s="21" t="n">
        <f aca="false">K949-L949</f>
        <v>210</v>
      </c>
      <c r="N949" s="11" t="str">
        <f aca="false">TEXT(B949,"mmm")</f>
        <v>Sep</v>
      </c>
    </row>
    <row r="950" customFormat="false" ht="15" hidden="false" customHeight="false" outlineLevel="0" collapsed="false">
      <c r="A950" s="11" t="s">
        <v>1011</v>
      </c>
      <c r="B950" s="20" t="n">
        <v>45912</v>
      </c>
      <c r="C950" s="11" t="s">
        <v>20</v>
      </c>
      <c r="D950" s="11" t="s">
        <v>37</v>
      </c>
      <c r="E950" s="11" t="s">
        <v>53</v>
      </c>
      <c r="F950" s="11" t="s">
        <v>44</v>
      </c>
      <c r="G950" s="11" t="n">
        <v>30</v>
      </c>
      <c r="H950" s="21" t="n">
        <v>9</v>
      </c>
      <c r="I950" s="21" t="n">
        <v>4.5</v>
      </c>
      <c r="J950" s="22" t="n">
        <v>0</v>
      </c>
      <c r="K950" s="21" t="n">
        <f aca="false">G950*H950*(1-J950)</f>
        <v>270</v>
      </c>
      <c r="L950" s="21" t="n">
        <f aca="false">G950*I950</f>
        <v>135</v>
      </c>
      <c r="M950" s="21" t="n">
        <f aca="false">K950-L950</f>
        <v>135</v>
      </c>
      <c r="N950" s="11" t="str">
        <f aca="false">TEXT(B950,"mmm")</f>
        <v>Sep</v>
      </c>
    </row>
    <row r="951" customFormat="false" ht="15" hidden="false" customHeight="false" outlineLevel="0" collapsed="false">
      <c r="A951" s="11" t="s">
        <v>1012</v>
      </c>
      <c r="B951" s="20" t="n">
        <v>45912</v>
      </c>
      <c r="C951" s="11" t="s">
        <v>18</v>
      </c>
      <c r="D951" s="11" t="s">
        <v>33</v>
      </c>
      <c r="E951" s="11" t="s">
        <v>50</v>
      </c>
      <c r="F951" s="11" t="s">
        <v>42</v>
      </c>
      <c r="G951" s="11" t="n">
        <v>3</v>
      </c>
      <c r="H951" s="21" t="n">
        <v>780</v>
      </c>
      <c r="I951" s="21" t="n">
        <v>600</v>
      </c>
      <c r="J951" s="22" t="n">
        <v>0</v>
      </c>
      <c r="K951" s="21" t="n">
        <f aca="false">G951*H951*(1-J951)</f>
        <v>2340</v>
      </c>
      <c r="L951" s="21" t="n">
        <f aca="false">G951*I951</f>
        <v>1800</v>
      </c>
      <c r="M951" s="21" t="n">
        <f aca="false">K951-L951</f>
        <v>540</v>
      </c>
      <c r="N951" s="11" t="str">
        <f aca="false">TEXT(B951,"mmm")</f>
        <v>Sep</v>
      </c>
    </row>
    <row r="952" customFormat="false" ht="15" hidden="false" customHeight="false" outlineLevel="0" collapsed="false">
      <c r="A952" s="11" t="s">
        <v>1013</v>
      </c>
      <c r="B952" s="20" t="n">
        <v>45913</v>
      </c>
      <c r="C952" s="11" t="s">
        <v>24</v>
      </c>
      <c r="D952" s="11" t="s">
        <v>33</v>
      </c>
      <c r="E952" s="11" t="s">
        <v>48</v>
      </c>
      <c r="F952" s="11" t="s">
        <v>42</v>
      </c>
      <c r="G952" s="11" t="n">
        <v>2</v>
      </c>
      <c r="H952" s="21" t="n">
        <v>520</v>
      </c>
      <c r="I952" s="21" t="n">
        <v>415</v>
      </c>
      <c r="J952" s="22" t="n">
        <v>0.05</v>
      </c>
      <c r="K952" s="21" t="n">
        <f aca="false">G952*H952*(1-J952)</f>
        <v>988</v>
      </c>
      <c r="L952" s="21" t="n">
        <f aca="false">G952*I952</f>
        <v>830</v>
      </c>
      <c r="M952" s="21" t="n">
        <f aca="false">K952-L952</f>
        <v>158</v>
      </c>
      <c r="N952" s="11" t="str">
        <f aca="false">TEXT(B952,"mmm")</f>
        <v>Sep</v>
      </c>
    </row>
    <row r="953" customFormat="false" ht="15" hidden="false" customHeight="false" outlineLevel="0" collapsed="false">
      <c r="A953" s="11" t="s">
        <v>1014</v>
      </c>
      <c r="B953" s="20" t="n">
        <v>45913</v>
      </c>
      <c r="C953" s="11" t="s">
        <v>22</v>
      </c>
      <c r="D953" s="11" t="s">
        <v>37</v>
      </c>
      <c r="E953" s="11" t="s">
        <v>52</v>
      </c>
      <c r="F953" s="11" t="s">
        <v>42</v>
      </c>
      <c r="G953" s="11" t="n">
        <v>28</v>
      </c>
      <c r="H953" s="21" t="n">
        <v>12</v>
      </c>
      <c r="I953" s="21" t="n">
        <v>6</v>
      </c>
      <c r="J953" s="22" t="n">
        <v>0</v>
      </c>
      <c r="K953" s="21" t="n">
        <f aca="false">G953*H953*(1-J953)</f>
        <v>336</v>
      </c>
      <c r="L953" s="21" t="n">
        <f aca="false">G953*I953</f>
        <v>168</v>
      </c>
      <c r="M953" s="21" t="n">
        <f aca="false">K953-L953</f>
        <v>168</v>
      </c>
      <c r="N953" s="11" t="str">
        <f aca="false">TEXT(B953,"mmm")</f>
        <v>Sep</v>
      </c>
    </row>
    <row r="954" customFormat="false" ht="15" hidden="false" customHeight="false" outlineLevel="0" collapsed="false">
      <c r="A954" s="11" t="s">
        <v>1015</v>
      </c>
      <c r="B954" s="20" t="n">
        <v>45914</v>
      </c>
      <c r="C954" s="11" t="s">
        <v>22</v>
      </c>
      <c r="D954" s="11" t="s">
        <v>33</v>
      </c>
      <c r="E954" s="11" t="s">
        <v>50</v>
      </c>
      <c r="F954" s="11" t="s">
        <v>44</v>
      </c>
      <c r="G954" s="11" t="n">
        <v>1</v>
      </c>
      <c r="H954" s="21" t="n">
        <v>780</v>
      </c>
      <c r="I954" s="21" t="n">
        <v>600</v>
      </c>
      <c r="J954" s="22" t="n">
        <v>0.1</v>
      </c>
      <c r="K954" s="21" t="n">
        <f aca="false">G954*H954*(1-J954)</f>
        <v>702</v>
      </c>
      <c r="L954" s="21" t="n">
        <f aca="false">G954*I954</f>
        <v>600</v>
      </c>
      <c r="M954" s="21" t="n">
        <f aca="false">K954-L954</f>
        <v>102</v>
      </c>
      <c r="N954" s="11" t="str">
        <f aca="false">TEXT(B954,"mmm")</f>
        <v>Sep</v>
      </c>
    </row>
    <row r="955" customFormat="false" ht="15" hidden="false" customHeight="false" outlineLevel="0" collapsed="false">
      <c r="A955" s="11" t="s">
        <v>1016</v>
      </c>
      <c r="B955" s="20" t="n">
        <v>45914</v>
      </c>
      <c r="C955" s="11" t="s">
        <v>22</v>
      </c>
      <c r="D955" s="11" t="s">
        <v>37</v>
      </c>
      <c r="E955" s="11" t="s">
        <v>49</v>
      </c>
      <c r="F955" s="11" t="s">
        <v>45</v>
      </c>
      <c r="G955" s="11" t="n">
        <v>84</v>
      </c>
      <c r="H955" s="21" t="n">
        <v>28</v>
      </c>
      <c r="I955" s="21" t="n">
        <v>17</v>
      </c>
      <c r="J955" s="22" t="n">
        <v>0.2</v>
      </c>
      <c r="K955" s="21" t="n">
        <f aca="false">G955*H955*(1-J955)</f>
        <v>1881.6</v>
      </c>
      <c r="L955" s="21" t="n">
        <f aca="false">G955*I955</f>
        <v>1428</v>
      </c>
      <c r="M955" s="21" t="n">
        <f aca="false">K955-L955</f>
        <v>453.6</v>
      </c>
      <c r="N955" s="11" t="str">
        <f aca="false">TEXT(B955,"mmm")</f>
        <v>Sep</v>
      </c>
    </row>
    <row r="956" customFormat="false" ht="15" hidden="false" customHeight="false" outlineLevel="0" collapsed="false">
      <c r="A956" s="11" t="s">
        <v>1017</v>
      </c>
      <c r="B956" s="20" t="n">
        <v>45914</v>
      </c>
      <c r="C956" s="11" t="s">
        <v>18</v>
      </c>
      <c r="D956" s="11" t="s">
        <v>37</v>
      </c>
      <c r="E956" s="11" t="s">
        <v>49</v>
      </c>
      <c r="F956" s="11" t="s">
        <v>42</v>
      </c>
      <c r="G956" s="11" t="n">
        <v>11</v>
      </c>
      <c r="H956" s="21" t="n">
        <v>28</v>
      </c>
      <c r="I956" s="21" t="n">
        <v>17</v>
      </c>
      <c r="J956" s="22" t="n">
        <v>0</v>
      </c>
      <c r="K956" s="21" t="n">
        <f aca="false">G956*H956*(1-J956)</f>
        <v>308</v>
      </c>
      <c r="L956" s="21" t="n">
        <f aca="false">G956*I956</f>
        <v>187</v>
      </c>
      <c r="M956" s="21" t="n">
        <f aca="false">K956-L956</f>
        <v>121</v>
      </c>
      <c r="N956" s="11" t="str">
        <f aca="false">TEXT(B956,"mmm")</f>
        <v>Sep</v>
      </c>
    </row>
    <row r="957" customFormat="false" ht="15" hidden="false" customHeight="false" outlineLevel="0" collapsed="false">
      <c r="A957" s="11" t="s">
        <v>1018</v>
      </c>
      <c r="B957" s="20" t="n">
        <v>45914</v>
      </c>
      <c r="C957" s="11" t="s">
        <v>24</v>
      </c>
      <c r="D957" s="11" t="s">
        <v>37</v>
      </c>
      <c r="E957" s="11" t="s">
        <v>52</v>
      </c>
      <c r="F957" s="11" t="s">
        <v>45</v>
      </c>
      <c r="G957" s="11" t="n">
        <v>84</v>
      </c>
      <c r="H957" s="21" t="n">
        <v>12</v>
      </c>
      <c r="I957" s="21" t="n">
        <v>6</v>
      </c>
      <c r="J957" s="22" t="n">
        <v>0.15</v>
      </c>
      <c r="K957" s="21" t="n">
        <f aca="false">G957*H957*(1-J957)</f>
        <v>856.8</v>
      </c>
      <c r="L957" s="21" t="n">
        <f aca="false">G957*I957</f>
        <v>504</v>
      </c>
      <c r="M957" s="21" t="n">
        <f aca="false">K957-L957</f>
        <v>352.8</v>
      </c>
      <c r="N957" s="11" t="str">
        <f aca="false">TEXT(B957,"mmm")</f>
        <v>Sep</v>
      </c>
    </row>
    <row r="958" customFormat="false" ht="15" hidden="false" customHeight="false" outlineLevel="0" collapsed="false">
      <c r="A958" s="11" t="s">
        <v>1019</v>
      </c>
      <c r="B958" s="20" t="n">
        <v>45914</v>
      </c>
      <c r="C958" s="11" t="s">
        <v>22</v>
      </c>
      <c r="D958" s="11" t="s">
        <v>33</v>
      </c>
      <c r="E958" s="11" t="s">
        <v>50</v>
      </c>
      <c r="F958" s="11" t="s">
        <v>42</v>
      </c>
      <c r="G958" s="11" t="n">
        <v>2</v>
      </c>
      <c r="H958" s="21" t="n">
        <v>780</v>
      </c>
      <c r="I958" s="21" t="n">
        <v>600</v>
      </c>
      <c r="J958" s="22" t="n">
        <v>0.1</v>
      </c>
      <c r="K958" s="21" t="n">
        <f aca="false">G958*H958*(1-J958)</f>
        <v>1404</v>
      </c>
      <c r="L958" s="21" t="n">
        <f aca="false">G958*I958</f>
        <v>1200</v>
      </c>
      <c r="M958" s="21" t="n">
        <f aca="false">K958-L958</f>
        <v>204</v>
      </c>
      <c r="N958" s="11" t="str">
        <f aca="false">TEXT(B958,"mmm")</f>
        <v>Sep</v>
      </c>
    </row>
    <row r="959" customFormat="false" ht="15" hidden="false" customHeight="false" outlineLevel="0" collapsed="false">
      <c r="A959" s="11" t="s">
        <v>1020</v>
      </c>
      <c r="B959" s="20" t="n">
        <v>45915</v>
      </c>
      <c r="C959" s="11" t="s">
        <v>22</v>
      </c>
      <c r="D959" s="11" t="s">
        <v>33</v>
      </c>
      <c r="E959" s="11" t="s">
        <v>50</v>
      </c>
      <c r="F959" s="11" t="s">
        <v>44</v>
      </c>
      <c r="G959" s="11" t="n">
        <v>3</v>
      </c>
      <c r="H959" s="21" t="n">
        <v>780</v>
      </c>
      <c r="I959" s="21" t="n">
        <v>600</v>
      </c>
      <c r="J959" s="22" t="n">
        <v>0</v>
      </c>
      <c r="K959" s="21" t="n">
        <f aca="false">G959*H959*(1-J959)</f>
        <v>2340</v>
      </c>
      <c r="L959" s="21" t="n">
        <f aca="false">G959*I959</f>
        <v>1800</v>
      </c>
      <c r="M959" s="21" t="n">
        <f aca="false">K959-L959</f>
        <v>540</v>
      </c>
      <c r="N959" s="11" t="str">
        <f aca="false">TEXT(B959,"mmm")</f>
        <v>Sep</v>
      </c>
    </row>
    <row r="960" customFormat="false" ht="15" hidden="false" customHeight="false" outlineLevel="0" collapsed="false">
      <c r="A960" s="11" t="s">
        <v>1021</v>
      </c>
      <c r="B960" s="20" t="n">
        <v>45915</v>
      </c>
      <c r="C960" s="11" t="s">
        <v>24</v>
      </c>
      <c r="D960" s="11" t="s">
        <v>33</v>
      </c>
      <c r="E960" s="11" t="s">
        <v>50</v>
      </c>
      <c r="F960" s="11" t="s">
        <v>42</v>
      </c>
      <c r="G960" s="11" t="n">
        <v>1</v>
      </c>
      <c r="H960" s="21" t="n">
        <v>780</v>
      </c>
      <c r="I960" s="21" t="n">
        <v>600</v>
      </c>
      <c r="J960" s="22" t="n">
        <v>0.1</v>
      </c>
      <c r="K960" s="21" t="n">
        <f aca="false">G960*H960*(1-J960)</f>
        <v>702</v>
      </c>
      <c r="L960" s="21" t="n">
        <f aca="false">G960*I960</f>
        <v>600</v>
      </c>
      <c r="M960" s="21" t="n">
        <f aca="false">K960-L960</f>
        <v>102</v>
      </c>
      <c r="N960" s="11" t="str">
        <f aca="false">TEXT(B960,"mmm")</f>
        <v>Sep</v>
      </c>
    </row>
    <row r="961" customFormat="false" ht="15" hidden="false" customHeight="false" outlineLevel="0" collapsed="false">
      <c r="A961" s="11" t="s">
        <v>1022</v>
      </c>
      <c r="B961" s="20" t="n">
        <v>45915</v>
      </c>
      <c r="C961" s="11" t="s">
        <v>22</v>
      </c>
      <c r="D961" s="11" t="s">
        <v>33</v>
      </c>
      <c r="E961" s="11" t="s">
        <v>48</v>
      </c>
      <c r="F961" s="11" t="s">
        <v>42</v>
      </c>
      <c r="G961" s="11" t="n">
        <v>3</v>
      </c>
      <c r="H961" s="21" t="n">
        <v>520</v>
      </c>
      <c r="I961" s="21" t="n">
        <v>415</v>
      </c>
      <c r="J961" s="22" t="n">
        <v>0.1</v>
      </c>
      <c r="K961" s="21" t="n">
        <f aca="false">G961*H961*(1-J961)</f>
        <v>1404</v>
      </c>
      <c r="L961" s="21" t="n">
        <f aca="false">G961*I961</f>
        <v>1245</v>
      </c>
      <c r="M961" s="21" t="n">
        <f aca="false">K961-L961</f>
        <v>159</v>
      </c>
      <c r="N961" s="11" t="str">
        <f aca="false">TEXT(B961,"mmm")</f>
        <v>Sep</v>
      </c>
    </row>
    <row r="962" customFormat="false" ht="15" hidden="false" customHeight="false" outlineLevel="0" collapsed="false">
      <c r="A962" s="11" t="s">
        <v>1023</v>
      </c>
      <c r="B962" s="20" t="n">
        <v>45915</v>
      </c>
      <c r="C962" s="11" t="s">
        <v>22</v>
      </c>
      <c r="D962" s="11" t="s">
        <v>35</v>
      </c>
      <c r="E962" s="11" t="s">
        <v>56</v>
      </c>
      <c r="F962" s="11" t="s">
        <v>44</v>
      </c>
      <c r="G962" s="11" t="n">
        <v>4</v>
      </c>
      <c r="H962" s="21" t="n">
        <v>110</v>
      </c>
      <c r="I962" s="21" t="n">
        <v>62</v>
      </c>
      <c r="J962" s="22" t="n">
        <v>0.1</v>
      </c>
      <c r="K962" s="21" t="n">
        <f aca="false">G962*H962*(1-J962)</f>
        <v>396</v>
      </c>
      <c r="L962" s="21" t="n">
        <f aca="false">G962*I962</f>
        <v>248</v>
      </c>
      <c r="M962" s="21" t="n">
        <f aca="false">K962-L962</f>
        <v>148</v>
      </c>
      <c r="N962" s="11" t="str">
        <f aca="false">TEXT(B962,"mmm")</f>
        <v>Sep</v>
      </c>
    </row>
    <row r="963" customFormat="false" ht="15" hidden="false" customHeight="false" outlineLevel="0" collapsed="false">
      <c r="A963" s="11" t="s">
        <v>1024</v>
      </c>
      <c r="B963" s="20" t="n">
        <v>45916</v>
      </c>
      <c r="C963" s="11" t="s">
        <v>20</v>
      </c>
      <c r="D963" s="11" t="s">
        <v>33</v>
      </c>
      <c r="E963" s="11" t="s">
        <v>51</v>
      </c>
      <c r="F963" s="11" t="s">
        <v>42</v>
      </c>
      <c r="G963" s="11" t="n">
        <v>4</v>
      </c>
      <c r="H963" s="21" t="n">
        <v>90</v>
      </c>
      <c r="I963" s="21" t="n">
        <v>58</v>
      </c>
      <c r="J963" s="22" t="n">
        <v>0.1</v>
      </c>
      <c r="K963" s="21" t="n">
        <f aca="false">G963*H963*(1-J963)</f>
        <v>324</v>
      </c>
      <c r="L963" s="21" t="n">
        <f aca="false">G963*I963</f>
        <v>232</v>
      </c>
      <c r="M963" s="21" t="n">
        <f aca="false">K963-L963</f>
        <v>92</v>
      </c>
      <c r="N963" s="11" t="str">
        <f aca="false">TEXT(B963,"mmm")</f>
        <v>Sep</v>
      </c>
    </row>
    <row r="964" customFormat="false" ht="15" hidden="false" customHeight="false" outlineLevel="0" collapsed="false">
      <c r="A964" s="11" t="s">
        <v>1025</v>
      </c>
      <c r="B964" s="20" t="n">
        <v>45916</v>
      </c>
      <c r="C964" s="11" t="s">
        <v>22</v>
      </c>
      <c r="D964" s="11" t="s">
        <v>33</v>
      </c>
      <c r="E964" s="11" t="s">
        <v>51</v>
      </c>
      <c r="F964" s="11" t="s">
        <v>44</v>
      </c>
      <c r="G964" s="11" t="n">
        <v>5</v>
      </c>
      <c r="H964" s="21" t="n">
        <v>90</v>
      </c>
      <c r="I964" s="21" t="n">
        <v>58</v>
      </c>
      <c r="J964" s="22" t="n">
        <v>0</v>
      </c>
      <c r="K964" s="21" t="n">
        <f aca="false">G964*H964*(1-J964)</f>
        <v>450</v>
      </c>
      <c r="L964" s="21" t="n">
        <f aca="false">G964*I964</f>
        <v>290</v>
      </c>
      <c r="M964" s="21" t="n">
        <f aca="false">K964-L964</f>
        <v>160</v>
      </c>
      <c r="N964" s="11" t="str">
        <f aca="false">TEXT(B964,"mmm")</f>
        <v>Sep</v>
      </c>
    </row>
    <row r="965" customFormat="false" ht="15" hidden="false" customHeight="false" outlineLevel="0" collapsed="false">
      <c r="A965" s="11" t="s">
        <v>1026</v>
      </c>
      <c r="B965" s="20" t="n">
        <v>45916</v>
      </c>
      <c r="C965" s="11" t="s">
        <v>24</v>
      </c>
      <c r="D965" s="11" t="s">
        <v>35</v>
      </c>
      <c r="E965" s="11" t="s">
        <v>56</v>
      </c>
      <c r="F965" s="11" t="s">
        <v>44</v>
      </c>
      <c r="G965" s="11" t="n">
        <v>2</v>
      </c>
      <c r="H965" s="21" t="n">
        <v>110</v>
      </c>
      <c r="I965" s="21" t="n">
        <v>62</v>
      </c>
      <c r="J965" s="22" t="n">
        <v>0.1</v>
      </c>
      <c r="K965" s="21" t="n">
        <f aca="false">G965*H965*(1-J965)</f>
        <v>198</v>
      </c>
      <c r="L965" s="21" t="n">
        <f aca="false">G965*I965</f>
        <v>124</v>
      </c>
      <c r="M965" s="21" t="n">
        <f aca="false">K965-L965</f>
        <v>74</v>
      </c>
      <c r="N965" s="11" t="str">
        <f aca="false">TEXT(B965,"mmm")</f>
        <v>Sep</v>
      </c>
    </row>
    <row r="966" customFormat="false" ht="15" hidden="false" customHeight="false" outlineLevel="0" collapsed="false">
      <c r="A966" s="11" t="s">
        <v>1027</v>
      </c>
      <c r="B966" s="20" t="n">
        <v>45917</v>
      </c>
      <c r="C966" s="11" t="s">
        <v>22</v>
      </c>
      <c r="D966" s="11" t="s">
        <v>35</v>
      </c>
      <c r="E966" s="11" t="s">
        <v>55</v>
      </c>
      <c r="F966" s="11" t="s">
        <v>42</v>
      </c>
      <c r="G966" s="11" t="n">
        <v>1</v>
      </c>
      <c r="H966" s="21" t="n">
        <v>150</v>
      </c>
      <c r="I966" s="21" t="n">
        <v>82</v>
      </c>
      <c r="J966" s="22" t="n">
        <v>0</v>
      </c>
      <c r="K966" s="21" t="n">
        <f aca="false">G966*H966*(1-J966)</f>
        <v>150</v>
      </c>
      <c r="L966" s="21" t="n">
        <f aca="false">G966*I966</f>
        <v>82</v>
      </c>
      <c r="M966" s="21" t="n">
        <f aca="false">K966-L966</f>
        <v>68</v>
      </c>
      <c r="N966" s="11" t="str">
        <f aca="false">TEXT(B966,"mmm")</f>
        <v>Sep</v>
      </c>
    </row>
    <row r="967" customFormat="false" ht="15" hidden="false" customHeight="false" outlineLevel="0" collapsed="false">
      <c r="A967" s="11" t="s">
        <v>1028</v>
      </c>
      <c r="B967" s="20" t="n">
        <v>45917</v>
      </c>
      <c r="C967" s="11" t="s">
        <v>18</v>
      </c>
      <c r="D967" s="11" t="s">
        <v>33</v>
      </c>
      <c r="E967" s="11" t="s">
        <v>48</v>
      </c>
      <c r="F967" s="11" t="s">
        <v>42</v>
      </c>
      <c r="G967" s="11" t="n">
        <v>3</v>
      </c>
      <c r="H967" s="21" t="n">
        <v>520</v>
      </c>
      <c r="I967" s="21" t="n">
        <v>415</v>
      </c>
      <c r="J967" s="22" t="n">
        <v>0.1</v>
      </c>
      <c r="K967" s="21" t="n">
        <f aca="false">G967*H967*(1-J967)</f>
        <v>1404</v>
      </c>
      <c r="L967" s="21" t="n">
        <f aca="false">G967*I967</f>
        <v>1245</v>
      </c>
      <c r="M967" s="21" t="n">
        <f aca="false">K967-L967</f>
        <v>159</v>
      </c>
      <c r="N967" s="11" t="str">
        <f aca="false">TEXT(B967,"mmm")</f>
        <v>Sep</v>
      </c>
    </row>
    <row r="968" customFormat="false" ht="15" hidden="false" customHeight="false" outlineLevel="0" collapsed="false">
      <c r="A968" s="11" t="s">
        <v>1029</v>
      </c>
      <c r="B968" s="20" t="n">
        <v>45917</v>
      </c>
      <c r="C968" s="11" t="s">
        <v>22</v>
      </c>
      <c r="D968" s="11" t="s">
        <v>37</v>
      </c>
      <c r="E968" s="11" t="s">
        <v>52</v>
      </c>
      <c r="F968" s="11" t="s">
        <v>42</v>
      </c>
      <c r="G968" s="11" t="n">
        <v>8</v>
      </c>
      <c r="H968" s="21" t="n">
        <v>12</v>
      </c>
      <c r="I968" s="21" t="n">
        <v>6</v>
      </c>
      <c r="J968" s="22" t="n">
        <v>0.15</v>
      </c>
      <c r="K968" s="21" t="n">
        <f aca="false">G968*H968*(1-J968)</f>
        <v>81.6</v>
      </c>
      <c r="L968" s="21" t="n">
        <f aca="false">G968*I968</f>
        <v>48</v>
      </c>
      <c r="M968" s="21" t="n">
        <f aca="false">K968-L968</f>
        <v>33.6</v>
      </c>
      <c r="N968" s="11" t="str">
        <f aca="false">TEXT(B968,"mmm")</f>
        <v>Sep</v>
      </c>
    </row>
    <row r="969" customFormat="false" ht="15" hidden="false" customHeight="false" outlineLevel="0" collapsed="false">
      <c r="A969" s="11" t="s">
        <v>1030</v>
      </c>
      <c r="B969" s="20" t="n">
        <v>45917</v>
      </c>
      <c r="C969" s="11" t="s">
        <v>20</v>
      </c>
      <c r="D969" s="11" t="s">
        <v>37</v>
      </c>
      <c r="E969" s="11" t="s">
        <v>53</v>
      </c>
      <c r="F969" s="11" t="s">
        <v>44</v>
      </c>
      <c r="G969" s="11" t="n">
        <v>10</v>
      </c>
      <c r="H969" s="21" t="n">
        <v>9</v>
      </c>
      <c r="I969" s="21" t="n">
        <v>4.5</v>
      </c>
      <c r="J969" s="22" t="n">
        <v>0.05</v>
      </c>
      <c r="K969" s="21" t="n">
        <f aca="false">G969*H969*(1-J969)</f>
        <v>85.5</v>
      </c>
      <c r="L969" s="21" t="n">
        <f aca="false">G969*I969</f>
        <v>45</v>
      </c>
      <c r="M969" s="21" t="n">
        <f aca="false">K969-L969</f>
        <v>40.5</v>
      </c>
      <c r="N969" s="11" t="str">
        <f aca="false">TEXT(B969,"mmm")</f>
        <v>Sep</v>
      </c>
    </row>
    <row r="970" customFormat="false" ht="15" hidden="false" customHeight="false" outlineLevel="0" collapsed="false">
      <c r="A970" s="11" t="s">
        <v>1031</v>
      </c>
      <c r="B970" s="20" t="n">
        <v>45917</v>
      </c>
      <c r="C970" s="11" t="s">
        <v>22</v>
      </c>
      <c r="D970" s="11" t="s">
        <v>33</v>
      </c>
      <c r="E970" s="11" t="s">
        <v>51</v>
      </c>
      <c r="F970" s="11" t="s">
        <v>44</v>
      </c>
      <c r="G970" s="11" t="n">
        <v>6</v>
      </c>
      <c r="H970" s="21" t="n">
        <v>90</v>
      </c>
      <c r="I970" s="21" t="n">
        <v>58</v>
      </c>
      <c r="J970" s="22" t="n">
        <v>0</v>
      </c>
      <c r="K970" s="21" t="n">
        <f aca="false">G970*H970*(1-J970)</f>
        <v>540</v>
      </c>
      <c r="L970" s="21" t="n">
        <f aca="false">G970*I970</f>
        <v>348</v>
      </c>
      <c r="M970" s="21" t="n">
        <f aca="false">K970-L970</f>
        <v>192</v>
      </c>
      <c r="N970" s="11" t="str">
        <f aca="false">TEXT(B970,"mmm")</f>
        <v>Sep</v>
      </c>
    </row>
    <row r="971" customFormat="false" ht="15" hidden="false" customHeight="false" outlineLevel="0" collapsed="false">
      <c r="A971" s="11" t="s">
        <v>1032</v>
      </c>
      <c r="B971" s="20" t="n">
        <v>45917</v>
      </c>
      <c r="C971" s="11" t="s">
        <v>20</v>
      </c>
      <c r="D971" s="11" t="s">
        <v>33</v>
      </c>
      <c r="E971" s="11" t="s">
        <v>51</v>
      </c>
      <c r="F971" s="11" t="s">
        <v>44</v>
      </c>
      <c r="G971" s="11" t="n">
        <v>6</v>
      </c>
      <c r="H971" s="21" t="n">
        <v>90</v>
      </c>
      <c r="I971" s="21" t="n">
        <v>58</v>
      </c>
      <c r="J971" s="22" t="n">
        <v>0</v>
      </c>
      <c r="K971" s="21" t="n">
        <f aca="false">G971*H971*(1-J971)</f>
        <v>540</v>
      </c>
      <c r="L971" s="21" t="n">
        <f aca="false">G971*I971</f>
        <v>348</v>
      </c>
      <c r="M971" s="21" t="n">
        <f aca="false">K971-L971</f>
        <v>192</v>
      </c>
      <c r="N971" s="11" t="str">
        <f aca="false">TEXT(B971,"mmm")</f>
        <v>Sep</v>
      </c>
    </row>
    <row r="972" customFormat="false" ht="15" hidden="false" customHeight="false" outlineLevel="0" collapsed="false">
      <c r="A972" s="11" t="s">
        <v>1033</v>
      </c>
      <c r="B972" s="20" t="n">
        <v>45917</v>
      </c>
      <c r="C972" s="11" t="s">
        <v>18</v>
      </c>
      <c r="D972" s="11" t="s">
        <v>37</v>
      </c>
      <c r="E972" s="11" t="s">
        <v>52</v>
      </c>
      <c r="F972" s="11" t="s">
        <v>44</v>
      </c>
      <c r="G972" s="11" t="n">
        <v>5</v>
      </c>
      <c r="H972" s="21" t="n">
        <v>12</v>
      </c>
      <c r="I972" s="21" t="n">
        <v>6</v>
      </c>
      <c r="J972" s="22" t="n">
        <v>0.05</v>
      </c>
      <c r="K972" s="21" t="n">
        <f aca="false">G972*H972*(1-J972)</f>
        <v>57</v>
      </c>
      <c r="L972" s="21" t="n">
        <f aca="false">G972*I972</f>
        <v>30</v>
      </c>
      <c r="M972" s="21" t="n">
        <f aca="false">K972-L972</f>
        <v>27</v>
      </c>
      <c r="N972" s="11" t="str">
        <f aca="false">TEXT(B972,"mmm")</f>
        <v>Sep</v>
      </c>
    </row>
    <row r="973" customFormat="false" ht="15" hidden="false" customHeight="false" outlineLevel="0" collapsed="false">
      <c r="A973" s="11" t="s">
        <v>1034</v>
      </c>
      <c r="B973" s="20" t="n">
        <v>45918</v>
      </c>
      <c r="C973" s="11" t="s">
        <v>24</v>
      </c>
      <c r="D973" s="11" t="s">
        <v>37</v>
      </c>
      <c r="E973" s="11" t="s">
        <v>53</v>
      </c>
      <c r="F973" s="11" t="s">
        <v>45</v>
      </c>
      <c r="G973" s="11" t="n">
        <v>48</v>
      </c>
      <c r="H973" s="21" t="n">
        <v>9</v>
      </c>
      <c r="I973" s="21" t="n">
        <v>4.5</v>
      </c>
      <c r="J973" s="22" t="n">
        <v>0.1</v>
      </c>
      <c r="K973" s="21" t="n">
        <f aca="false">G973*H973*(1-J973)</f>
        <v>388.8</v>
      </c>
      <c r="L973" s="21" t="n">
        <f aca="false">G973*I973</f>
        <v>216</v>
      </c>
      <c r="M973" s="21" t="n">
        <f aca="false">K973-L973</f>
        <v>172.8</v>
      </c>
      <c r="N973" s="11" t="str">
        <f aca="false">TEXT(B973,"mmm")</f>
        <v>Sep</v>
      </c>
    </row>
    <row r="974" customFormat="false" ht="15" hidden="false" customHeight="false" outlineLevel="0" collapsed="false">
      <c r="A974" s="11" t="s">
        <v>1035</v>
      </c>
      <c r="B974" s="20" t="n">
        <v>45918</v>
      </c>
      <c r="C974" s="11" t="s">
        <v>18</v>
      </c>
      <c r="D974" s="11" t="s">
        <v>33</v>
      </c>
      <c r="E974" s="11" t="s">
        <v>50</v>
      </c>
      <c r="F974" s="11" t="s">
        <v>44</v>
      </c>
      <c r="G974" s="11" t="n">
        <v>3</v>
      </c>
      <c r="H974" s="21" t="n">
        <v>780</v>
      </c>
      <c r="I974" s="21" t="n">
        <v>600</v>
      </c>
      <c r="J974" s="22" t="n">
        <v>0.05</v>
      </c>
      <c r="K974" s="21" t="n">
        <f aca="false">G974*H974*(1-J974)</f>
        <v>2223</v>
      </c>
      <c r="L974" s="21" t="n">
        <f aca="false">G974*I974</f>
        <v>1800</v>
      </c>
      <c r="M974" s="21" t="n">
        <f aca="false">K974-L974</f>
        <v>423</v>
      </c>
      <c r="N974" s="11" t="str">
        <f aca="false">TEXT(B974,"mmm")</f>
        <v>Sep</v>
      </c>
    </row>
    <row r="975" customFormat="false" ht="15" hidden="false" customHeight="false" outlineLevel="0" collapsed="false">
      <c r="A975" s="11" t="s">
        <v>1036</v>
      </c>
      <c r="B975" s="20" t="n">
        <v>45919</v>
      </c>
      <c r="C975" s="11" t="s">
        <v>24</v>
      </c>
      <c r="D975" s="11" t="s">
        <v>33</v>
      </c>
      <c r="E975" s="11" t="s">
        <v>51</v>
      </c>
      <c r="F975" s="11" t="s">
        <v>42</v>
      </c>
      <c r="G975" s="11" t="n">
        <v>3</v>
      </c>
      <c r="H975" s="21" t="n">
        <v>90</v>
      </c>
      <c r="I975" s="21" t="n">
        <v>58</v>
      </c>
      <c r="J975" s="22" t="n">
        <v>0</v>
      </c>
      <c r="K975" s="21" t="n">
        <f aca="false">G975*H975*(1-J975)</f>
        <v>270</v>
      </c>
      <c r="L975" s="21" t="n">
        <f aca="false">G975*I975</f>
        <v>174</v>
      </c>
      <c r="M975" s="21" t="n">
        <f aca="false">K975-L975</f>
        <v>96</v>
      </c>
      <c r="N975" s="11" t="str">
        <f aca="false">TEXT(B975,"mmm")</f>
        <v>Sep</v>
      </c>
    </row>
    <row r="976" customFormat="false" ht="15" hidden="false" customHeight="false" outlineLevel="0" collapsed="false">
      <c r="A976" s="11" t="s">
        <v>1037</v>
      </c>
      <c r="B976" s="20" t="n">
        <v>45919</v>
      </c>
      <c r="C976" s="11" t="s">
        <v>20</v>
      </c>
      <c r="D976" s="11" t="s">
        <v>37</v>
      </c>
      <c r="E976" s="11" t="s">
        <v>53</v>
      </c>
      <c r="F976" s="11" t="s">
        <v>44</v>
      </c>
      <c r="G976" s="11" t="n">
        <v>27</v>
      </c>
      <c r="H976" s="21" t="n">
        <v>9</v>
      </c>
      <c r="I976" s="21" t="n">
        <v>4.5</v>
      </c>
      <c r="J976" s="22" t="n">
        <v>0.05</v>
      </c>
      <c r="K976" s="21" t="n">
        <f aca="false">G976*H976*(1-J976)</f>
        <v>230.85</v>
      </c>
      <c r="L976" s="21" t="n">
        <f aca="false">G976*I976</f>
        <v>121.5</v>
      </c>
      <c r="M976" s="21" t="n">
        <f aca="false">K976-L976</f>
        <v>109.35</v>
      </c>
      <c r="N976" s="11" t="str">
        <f aca="false">TEXT(B976,"mmm")</f>
        <v>Sep</v>
      </c>
    </row>
    <row r="977" customFormat="false" ht="15" hidden="false" customHeight="false" outlineLevel="0" collapsed="false">
      <c r="A977" s="11" t="s">
        <v>1038</v>
      </c>
      <c r="B977" s="20" t="n">
        <v>45919</v>
      </c>
      <c r="C977" s="11" t="s">
        <v>18</v>
      </c>
      <c r="D977" s="11" t="s">
        <v>35</v>
      </c>
      <c r="E977" s="11" t="s">
        <v>56</v>
      </c>
      <c r="F977" s="11" t="s">
        <v>42</v>
      </c>
      <c r="G977" s="11" t="n">
        <v>2</v>
      </c>
      <c r="H977" s="21" t="n">
        <v>110</v>
      </c>
      <c r="I977" s="21" t="n">
        <v>62</v>
      </c>
      <c r="J977" s="22" t="n">
        <v>0.1</v>
      </c>
      <c r="K977" s="21" t="n">
        <f aca="false">G977*H977*(1-J977)</f>
        <v>198</v>
      </c>
      <c r="L977" s="21" t="n">
        <f aca="false">G977*I977</f>
        <v>124</v>
      </c>
      <c r="M977" s="21" t="n">
        <f aca="false">K977-L977</f>
        <v>74</v>
      </c>
      <c r="N977" s="11" t="str">
        <f aca="false">TEXT(B977,"mmm")</f>
        <v>Sep</v>
      </c>
    </row>
    <row r="978" customFormat="false" ht="15" hidden="false" customHeight="false" outlineLevel="0" collapsed="false">
      <c r="A978" s="11" t="s">
        <v>1039</v>
      </c>
      <c r="B978" s="20" t="n">
        <v>45919</v>
      </c>
      <c r="C978" s="11" t="s">
        <v>18</v>
      </c>
      <c r="D978" s="11" t="s">
        <v>33</v>
      </c>
      <c r="E978" s="11" t="s">
        <v>48</v>
      </c>
      <c r="F978" s="11" t="s">
        <v>42</v>
      </c>
      <c r="G978" s="11" t="n">
        <v>2</v>
      </c>
      <c r="H978" s="21" t="n">
        <v>520</v>
      </c>
      <c r="I978" s="21" t="n">
        <v>415</v>
      </c>
      <c r="J978" s="22" t="n">
        <v>0.1</v>
      </c>
      <c r="K978" s="21" t="n">
        <f aca="false">G978*H978*(1-J978)</f>
        <v>936</v>
      </c>
      <c r="L978" s="21" t="n">
        <f aca="false">G978*I978</f>
        <v>830</v>
      </c>
      <c r="M978" s="21" t="n">
        <f aca="false">K978-L978</f>
        <v>106</v>
      </c>
      <c r="N978" s="11" t="str">
        <f aca="false">TEXT(B978,"mmm")</f>
        <v>Sep</v>
      </c>
    </row>
    <row r="979" customFormat="false" ht="15" hidden="false" customHeight="false" outlineLevel="0" collapsed="false">
      <c r="A979" s="11" t="s">
        <v>1040</v>
      </c>
      <c r="B979" s="20" t="n">
        <v>45919</v>
      </c>
      <c r="C979" s="11" t="s">
        <v>22</v>
      </c>
      <c r="D979" s="11" t="s">
        <v>37</v>
      </c>
      <c r="E979" s="11" t="s">
        <v>52</v>
      </c>
      <c r="F979" s="11" t="s">
        <v>45</v>
      </c>
      <c r="G979" s="11" t="n">
        <v>57</v>
      </c>
      <c r="H979" s="21" t="n">
        <v>12</v>
      </c>
      <c r="I979" s="21" t="n">
        <v>6</v>
      </c>
      <c r="J979" s="22" t="n">
        <v>0.2</v>
      </c>
      <c r="K979" s="21" t="n">
        <f aca="false">G979*H979*(1-J979)</f>
        <v>547.2</v>
      </c>
      <c r="L979" s="21" t="n">
        <f aca="false">G979*I979</f>
        <v>342</v>
      </c>
      <c r="M979" s="21" t="n">
        <f aca="false">K979-L979</f>
        <v>205.2</v>
      </c>
      <c r="N979" s="11" t="str">
        <f aca="false">TEXT(B979,"mmm")</f>
        <v>Sep</v>
      </c>
    </row>
    <row r="980" customFormat="false" ht="15" hidden="false" customHeight="false" outlineLevel="0" collapsed="false">
      <c r="A980" s="11" t="s">
        <v>1041</v>
      </c>
      <c r="B980" s="20" t="n">
        <v>45919</v>
      </c>
      <c r="C980" s="11" t="s">
        <v>22</v>
      </c>
      <c r="D980" s="11" t="s">
        <v>33</v>
      </c>
      <c r="E980" s="11" t="s">
        <v>48</v>
      </c>
      <c r="F980" s="11" t="s">
        <v>44</v>
      </c>
      <c r="G980" s="11" t="n">
        <v>3</v>
      </c>
      <c r="H980" s="21" t="n">
        <v>520</v>
      </c>
      <c r="I980" s="21" t="n">
        <v>415</v>
      </c>
      <c r="J980" s="22" t="n">
        <v>0.05</v>
      </c>
      <c r="K980" s="21" t="n">
        <f aca="false">G980*H980*(1-J980)</f>
        <v>1482</v>
      </c>
      <c r="L980" s="21" t="n">
        <f aca="false">G980*I980</f>
        <v>1245</v>
      </c>
      <c r="M980" s="21" t="n">
        <f aca="false">K980-L980</f>
        <v>237</v>
      </c>
      <c r="N980" s="11" t="str">
        <f aca="false">TEXT(B980,"mmm")</f>
        <v>Sep</v>
      </c>
    </row>
    <row r="981" customFormat="false" ht="15" hidden="false" customHeight="false" outlineLevel="0" collapsed="false">
      <c r="A981" s="11" t="s">
        <v>1042</v>
      </c>
      <c r="B981" s="20" t="n">
        <v>45919</v>
      </c>
      <c r="C981" s="11" t="s">
        <v>22</v>
      </c>
      <c r="D981" s="11" t="s">
        <v>35</v>
      </c>
      <c r="E981" s="11" t="s">
        <v>56</v>
      </c>
      <c r="F981" s="11" t="s">
        <v>45</v>
      </c>
      <c r="G981" s="11" t="n">
        <v>4</v>
      </c>
      <c r="H981" s="21" t="n">
        <v>110</v>
      </c>
      <c r="I981" s="21" t="n">
        <v>62</v>
      </c>
      <c r="J981" s="22" t="n">
        <v>0.15</v>
      </c>
      <c r="K981" s="21" t="n">
        <f aca="false">G981*H981*(1-J981)</f>
        <v>374</v>
      </c>
      <c r="L981" s="21" t="n">
        <f aca="false">G981*I981</f>
        <v>248</v>
      </c>
      <c r="M981" s="21" t="n">
        <f aca="false">K981-L981</f>
        <v>126</v>
      </c>
      <c r="N981" s="11" t="str">
        <f aca="false">TEXT(B981,"mmm")</f>
        <v>Sep</v>
      </c>
    </row>
    <row r="982" customFormat="false" ht="15" hidden="false" customHeight="false" outlineLevel="0" collapsed="false">
      <c r="A982" s="11" t="s">
        <v>1043</v>
      </c>
      <c r="B982" s="20" t="n">
        <v>45920</v>
      </c>
      <c r="C982" s="11" t="s">
        <v>20</v>
      </c>
      <c r="D982" s="11" t="s">
        <v>33</v>
      </c>
      <c r="E982" s="11" t="s">
        <v>51</v>
      </c>
      <c r="F982" s="11" t="s">
        <v>44</v>
      </c>
      <c r="G982" s="11" t="n">
        <v>5</v>
      </c>
      <c r="H982" s="21" t="n">
        <v>90</v>
      </c>
      <c r="I982" s="21" t="n">
        <v>58</v>
      </c>
      <c r="J982" s="22" t="n">
        <v>0</v>
      </c>
      <c r="K982" s="21" t="n">
        <f aca="false">G982*H982*(1-J982)</f>
        <v>450</v>
      </c>
      <c r="L982" s="21" t="n">
        <f aca="false">G982*I982</f>
        <v>290</v>
      </c>
      <c r="M982" s="21" t="n">
        <f aca="false">K982-L982</f>
        <v>160</v>
      </c>
      <c r="N982" s="11" t="str">
        <f aca="false">TEXT(B982,"mmm")</f>
        <v>Sep</v>
      </c>
    </row>
    <row r="983" customFormat="false" ht="15" hidden="false" customHeight="false" outlineLevel="0" collapsed="false">
      <c r="A983" s="11" t="s">
        <v>1044</v>
      </c>
      <c r="B983" s="20" t="n">
        <v>45920</v>
      </c>
      <c r="C983" s="11" t="s">
        <v>22</v>
      </c>
      <c r="D983" s="11" t="s">
        <v>37</v>
      </c>
      <c r="E983" s="11" t="s">
        <v>52</v>
      </c>
      <c r="F983" s="11" t="s">
        <v>42</v>
      </c>
      <c r="G983" s="11" t="n">
        <v>16</v>
      </c>
      <c r="H983" s="21" t="n">
        <v>12</v>
      </c>
      <c r="I983" s="21" t="n">
        <v>6</v>
      </c>
      <c r="J983" s="22" t="n">
        <v>0</v>
      </c>
      <c r="K983" s="21" t="n">
        <f aca="false">G983*H983*(1-J983)</f>
        <v>192</v>
      </c>
      <c r="L983" s="21" t="n">
        <f aca="false">G983*I983</f>
        <v>96</v>
      </c>
      <c r="M983" s="21" t="n">
        <f aca="false">K983-L983</f>
        <v>96</v>
      </c>
      <c r="N983" s="11" t="str">
        <f aca="false">TEXT(B983,"mmm")</f>
        <v>Sep</v>
      </c>
    </row>
    <row r="984" customFormat="false" ht="15" hidden="false" customHeight="false" outlineLevel="0" collapsed="false">
      <c r="A984" s="11" t="s">
        <v>1045</v>
      </c>
      <c r="B984" s="20" t="n">
        <v>45920</v>
      </c>
      <c r="C984" s="11" t="s">
        <v>22</v>
      </c>
      <c r="D984" s="11" t="s">
        <v>33</v>
      </c>
      <c r="E984" s="11" t="s">
        <v>50</v>
      </c>
      <c r="F984" s="11" t="s">
        <v>45</v>
      </c>
      <c r="G984" s="11" t="n">
        <v>1</v>
      </c>
      <c r="H984" s="21" t="n">
        <v>780</v>
      </c>
      <c r="I984" s="21" t="n">
        <v>600</v>
      </c>
      <c r="J984" s="22" t="n">
        <v>0.1</v>
      </c>
      <c r="K984" s="21" t="n">
        <f aca="false">G984*H984*(1-J984)</f>
        <v>702</v>
      </c>
      <c r="L984" s="21" t="n">
        <f aca="false">G984*I984</f>
        <v>600</v>
      </c>
      <c r="M984" s="21" t="n">
        <f aca="false">K984-L984</f>
        <v>102</v>
      </c>
      <c r="N984" s="11" t="str">
        <f aca="false">TEXT(B984,"mmm")</f>
        <v>Sep</v>
      </c>
    </row>
    <row r="985" customFormat="false" ht="15" hidden="false" customHeight="false" outlineLevel="0" collapsed="false">
      <c r="A985" s="11" t="s">
        <v>1046</v>
      </c>
      <c r="B985" s="20" t="n">
        <v>45920</v>
      </c>
      <c r="C985" s="11" t="s">
        <v>24</v>
      </c>
      <c r="D985" s="11" t="s">
        <v>33</v>
      </c>
      <c r="E985" s="11" t="s">
        <v>50</v>
      </c>
      <c r="F985" s="11" t="s">
        <v>44</v>
      </c>
      <c r="G985" s="11" t="n">
        <v>3</v>
      </c>
      <c r="H985" s="21" t="n">
        <v>780</v>
      </c>
      <c r="I985" s="21" t="n">
        <v>600</v>
      </c>
      <c r="J985" s="22" t="n">
        <v>0.05</v>
      </c>
      <c r="K985" s="21" t="n">
        <f aca="false">G985*H985*(1-J985)</f>
        <v>2223</v>
      </c>
      <c r="L985" s="21" t="n">
        <f aca="false">G985*I985</f>
        <v>1800</v>
      </c>
      <c r="M985" s="21" t="n">
        <f aca="false">K985-L985</f>
        <v>423</v>
      </c>
      <c r="N985" s="11" t="str">
        <f aca="false">TEXT(B985,"mmm")</f>
        <v>Sep</v>
      </c>
    </row>
    <row r="986" customFormat="false" ht="15" hidden="false" customHeight="false" outlineLevel="0" collapsed="false">
      <c r="A986" s="11" t="s">
        <v>1047</v>
      </c>
      <c r="B986" s="20" t="n">
        <v>45920</v>
      </c>
      <c r="C986" s="11" t="s">
        <v>18</v>
      </c>
      <c r="D986" s="11" t="s">
        <v>37</v>
      </c>
      <c r="E986" s="11" t="s">
        <v>53</v>
      </c>
      <c r="F986" s="11" t="s">
        <v>42</v>
      </c>
      <c r="G986" s="11" t="n">
        <v>25</v>
      </c>
      <c r="H986" s="21" t="n">
        <v>9</v>
      </c>
      <c r="I986" s="21" t="n">
        <v>4.5</v>
      </c>
      <c r="J986" s="22" t="n">
        <v>0.15</v>
      </c>
      <c r="K986" s="21" t="n">
        <f aca="false">G986*H986*(1-J986)</f>
        <v>191.25</v>
      </c>
      <c r="L986" s="21" t="n">
        <f aca="false">G986*I986</f>
        <v>112.5</v>
      </c>
      <c r="M986" s="21" t="n">
        <f aca="false">K986-L986</f>
        <v>78.75</v>
      </c>
      <c r="N986" s="11" t="str">
        <f aca="false">TEXT(B986,"mmm")</f>
        <v>Sep</v>
      </c>
    </row>
    <row r="987" customFormat="false" ht="15" hidden="false" customHeight="false" outlineLevel="0" collapsed="false">
      <c r="A987" s="11" t="s">
        <v>1048</v>
      </c>
      <c r="B987" s="20" t="n">
        <v>45920</v>
      </c>
      <c r="C987" s="11" t="s">
        <v>20</v>
      </c>
      <c r="D987" s="11" t="s">
        <v>37</v>
      </c>
      <c r="E987" s="11" t="s">
        <v>53</v>
      </c>
      <c r="F987" s="11" t="s">
        <v>42</v>
      </c>
      <c r="G987" s="11" t="n">
        <v>28</v>
      </c>
      <c r="H987" s="21" t="n">
        <v>9</v>
      </c>
      <c r="I987" s="21" t="n">
        <v>4.5</v>
      </c>
      <c r="J987" s="22" t="n">
        <v>0.05</v>
      </c>
      <c r="K987" s="21" t="n">
        <f aca="false">G987*H987*(1-J987)</f>
        <v>239.4</v>
      </c>
      <c r="L987" s="21" t="n">
        <f aca="false">G987*I987</f>
        <v>126</v>
      </c>
      <c r="M987" s="21" t="n">
        <f aca="false">K987-L987</f>
        <v>113.4</v>
      </c>
      <c r="N987" s="11" t="str">
        <f aca="false">TEXT(B987,"mmm")</f>
        <v>Sep</v>
      </c>
    </row>
    <row r="988" customFormat="false" ht="15" hidden="false" customHeight="false" outlineLevel="0" collapsed="false">
      <c r="A988" s="11" t="s">
        <v>1049</v>
      </c>
      <c r="B988" s="20" t="n">
        <v>45920</v>
      </c>
      <c r="C988" s="11" t="s">
        <v>20</v>
      </c>
      <c r="D988" s="11" t="s">
        <v>35</v>
      </c>
      <c r="E988" s="11" t="s">
        <v>56</v>
      </c>
      <c r="F988" s="11" t="s">
        <v>44</v>
      </c>
      <c r="G988" s="11" t="n">
        <v>3</v>
      </c>
      <c r="H988" s="21" t="n">
        <v>110</v>
      </c>
      <c r="I988" s="21" t="n">
        <v>62</v>
      </c>
      <c r="J988" s="22" t="n">
        <v>0</v>
      </c>
      <c r="K988" s="21" t="n">
        <f aca="false">G988*H988*(1-J988)</f>
        <v>330</v>
      </c>
      <c r="L988" s="21" t="n">
        <f aca="false">G988*I988</f>
        <v>186</v>
      </c>
      <c r="M988" s="21" t="n">
        <f aca="false">K988-L988</f>
        <v>144</v>
      </c>
      <c r="N988" s="11" t="str">
        <f aca="false">TEXT(B988,"mmm")</f>
        <v>Sep</v>
      </c>
    </row>
    <row r="989" customFormat="false" ht="15" hidden="false" customHeight="false" outlineLevel="0" collapsed="false">
      <c r="A989" s="11" t="s">
        <v>1050</v>
      </c>
      <c r="B989" s="20" t="n">
        <v>45920</v>
      </c>
      <c r="C989" s="11" t="s">
        <v>18</v>
      </c>
      <c r="D989" s="11" t="s">
        <v>35</v>
      </c>
      <c r="E989" s="11" t="s">
        <v>55</v>
      </c>
      <c r="F989" s="11" t="s">
        <v>44</v>
      </c>
      <c r="G989" s="11" t="n">
        <v>4</v>
      </c>
      <c r="H989" s="21" t="n">
        <v>150</v>
      </c>
      <c r="I989" s="21" t="n">
        <v>82</v>
      </c>
      <c r="J989" s="22" t="n">
        <v>0</v>
      </c>
      <c r="K989" s="21" t="n">
        <f aca="false">G989*H989*(1-J989)</f>
        <v>600</v>
      </c>
      <c r="L989" s="21" t="n">
        <f aca="false">G989*I989</f>
        <v>328</v>
      </c>
      <c r="M989" s="21" t="n">
        <f aca="false">K989-L989</f>
        <v>272</v>
      </c>
      <c r="N989" s="11" t="str">
        <f aca="false">TEXT(B989,"mmm")</f>
        <v>Sep</v>
      </c>
    </row>
    <row r="990" customFormat="false" ht="15" hidden="false" customHeight="false" outlineLevel="0" collapsed="false">
      <c r="A990" s="11" t="s">
        <v>1051</v>
      </c>
      <c r="B990" s="20" t="n">
        <v>45920</v>
      </c>
      <c r="C990" s="11" t="s">
        <v>18</v>
      </c>
      <c r="D990" s="11" t="s">
        <v>35</v>
      </c>
      <c r="E990" s="11" t="s">
        <v>54</v>
      </c>
      <c r="F990" s="11" t="s">
        <v>45</v>
      </c>
      <c r="G990" s="11" t="n">
        <v>3</v>
      </c>
      <c r="H990" s="21" t="n">
        <v>320</v>
      </c>
      <c r="I990" s="21" t="n">
        <v>185</v>
      </c>
      <c r="J990" s="22" t="n">
        <v>0.15</v>
      </c>
      <c r="K990" s="21" t="n">
        <f aca="false">G990*H990*(1-J990)</f>
        <v>816</v>
      </c>
      <c r="L990" s="21" t="n">
        <f aca="false">G990*I990</f>
        <v>555</v>
      </c>
      <c r="M990" s="21" t="n">
        <f aca="false">K990-L990</f>
        <v>261</v>
      </c>
      <c r="N990" s="11" t="str">
        <f aca="false">TEXT(B990,"mmm")</f>
        <v>Sep</v>
      </c>
    </row>
    <row r="991" customFormat="false" ht="15" hidden="false" customHeight="false" outlineLevel="0" collapsed="false">
      <c r="A991" s="11" t="s">
        <v>1052</v>
      </c>
      <c r="B991" s="20" t="n">
        <v>45920</v>
      </c>
      <c r="C991" s="11" t="s">
        <v>24</v>
      </c>
      <c r="D991" s="11" t="s">
        <v>37</v>
      </c>
      <c r="E991" s="11" t="s">
        <v>49</v>
      </c>
      <c r="F991" s="11" t="s">
        <v>44</v>
      </c>
      <c r="G991" s="11" t="n">
        <v>15</v>
      </c>
      <c r="H991" s="21" t="n">
        <v>28</v>
      </c>
      <c r="I991" s="21" t="n">
        <v>17</v>
      </c>
      <c r="J991" s="22" t="n">
        <v>0</v>
      </c>
      <c r="K991" s="21" t="n">
        <f aca="false">G991*H991*(1-J991)</f>
        <v>420</v>
      </c>
      <c r="L991" s="21" t="n">
        <f aca="false">G991*I991</f>
        <v>255</v>
      </c>
      <c r="M991" s="21" t="n">
        <f aca="false">K991-L991</f>
        <v>165</v>
      </c>
      <c r="N991" s="11" t="str">
        <f aca="false">TEXT(B991,"mmm")</f>
        <v>Sep</v>
      </c>
    </row>
    <row r="992" customFormat="false" ht="15" hidden="false" customHeight="false" outlineLevel="0" collapsed="false">
      <c r="A992" s="11" t="s">
        <v>1053</v>
      </c>
      <c r="B992" s="20" t="n">
        <v>45920</v>
      </c>
      <c r="C992" s="11" t="s">
        <v>18</v>
      </c>
      <c r="D992" s="11" t="s">
        <v>35</v>
      </c>
      <c r="E992" s="11" t="s">
        <v>55</v>
      </c>
      <c r="F992" s="11" t="s">
        <v>42</v>
      </c>
      <c r="G992" s="11" t="n">
        <v>1</v>
      </c>
      <c r="H992" s="21" t="n">
        <v>150</v>
      </c>
      <c r="I992" s="21" t="n">
        <v>82</v>
      </c>
      <c r="J992" s="22" t="n">
        <v>0</v>
      </c>
      <c r="K992" s="21" t="n">
        <f aca="false">G992*H992*(1-J992)</f>
        <v>150</v>
      </c>
      <c r="L992" s="21" t="n">
        <f aca="false">G992*I992</f>
        <v>82</v>
      </c>
      <c r="M992" s="21" t="n">
        <f aca="false">K992-L992</f>
        <v>68</v>
      </c>
      <c r="N992" s="11" t="str">
        <f aca="false">TEXT(B992,"mmm")</f>
        <v>Sep</v>
      </c>
    </row>
    <row r="993" customFormat="false" ht="15" hidden="false" customHeight="false" outlineLevel="0" collapsed="false">
      <c r="A993" s="11" t="s">
        <v>1054</v>
      </c>
      <c r="B993" s="20" t="n">
        <v>45920</v>
      </c>
      <c r="C993" s="11" t="s">
        <v>22</v>
      </c>
      <c r="D993" s="11" t="s">
        <v>37</v>
      </c>
      <c r="E993" s="11" t="s">
        <v>53</v>
      </c>
      <c r="F993" s="11" t="s">
        <v>44</v>
      </c>
      <c r="G993" s="11" t="n">
        <v>26</v>
      </c>
      <c r="H993" s="21" t="n">
        <v>9</v>
      </c>
      <c r="I993" s="21" t="n">
        <v>4.5</v>
      </c>
      <c r="J993" s="22" t="n">
        <v>0.05</v>
      </c>
      <c r="K993" s="21" t="n">
        <f aca="false">G993*H993*(1-J993)</f>
        <v>222.3</v>
      </c>
      <c r="L993" s="21" t="n">
        <f aca="false">G993*I993</f>
        <v>117</v>
      </c>
      <c r="M993" s="21" t="n">
        <f aca="false">K993-L993</f>
        <v>105.3</v>
      </c>
      <c r="N993" s="11" t="str">
        <f aca="false">TEXT(B993,"mmm")</f>
        <v>Sep</v>
      </c>
    </row>
    <row r="994" customFormat="false" ht="15" hidden="false" customHeight="false" outlineLevel="0" collapsed="false">
      <c r="A994" s="11" t="s">
        <v>1055</v>
      </c>
      <c r="B994" s="20" t="n">
        <v>45920</v>
      </c>
      <c r="C994" s="11" t="s">
        <v>20</v>
      </c>
      <c r="D994" s="11" t="s">
        <v>35</v>
      </c>
      <c r="E994" s="11" t="s">
        <v>55</v>
      </c>
      <c r="F994" s="11" t="s">
        <v>42</v>
      </c>
      <c r="G994" s="11" t="n">
        <v>1</v>
      </c>
      <c r="H994" s="21" t="n">
        <v>150</v>
      </c>
      <c r="I994" s="21" t="n">
        <v>82</v>
      </c>
      <c r="J994" s="22" t="n">
        <v>0.15</v>
      </c>
      <c r="K994" s="21" t="n">
        <f aca="false">G994*H994*(1-J994)</f>
        <v>127.5</v>
      </c>
      <c r="L994" s="21" t="n">
        <f aca="false">G994*I994</f>
        <v>82</v>
      </c>
      <c r="M994" s="21" t="n">
        <f aca="false">K994-L994</f>
        <v>45.5</v>
      </c>
      <c r="N994" s="11" t="str">
        <f aca="false">TEXT(B994,"mmm")</f>
        <v>Sep</v>
      </c>
    </row>
    <row r="995" customFormat="false" ht="15" hidden="false" customHeight="false" outlineLevel="0" collapsed="false">
      <c r="A995" s="11" t="s">
        <v>1056</v>
      </c>
      <c r="B995" s="20" t="n">
        <v>45921</v>
      </c>
      <c r="C995" s="11" t="s">
        <v>18</v>
      </c>
      <c r="D995" s="11" t="s">
        <v>37</v>
      </c>
      <c r="E995" s="11" t="s">
        <v>53</v>
      </c>
      <c r="F995" s="11" t="s">
        <v>45</v>
      </c>
      <c r="G995" s="11" t="n">
        <v>60</v>
      </c>
      <c r="H995" s="21" t="n">
        <v>9</v>
      </c>
      <c r="I995" s="21" t="n">
        <v>4.5</v>
      </c>
      <c r="J995" s="22" t="n">
        <v>0.15</v>
      </c>
      <c r="K995" s="21" t="n">
        <f aca="false">G995*H995*(1-J995)</f>
        <v>459</v>
      </c>
      <c r="L995" s="21" t="n">
        <f aca="false">G995*I995</f>
        <v>270</v>
      </c>
      <c r="M995" s="21" t="n">
        <f aca="false">K995-L995</f>
        <v>189</v>
      </c>
      <c r="N995" s="11" t="str">
        <f aca="false">TEXT(B995,"mmm")</f>
        <v>Sep</v>
      </c>
    </row>
    <row r="996" customFormat="false" ht="15" hidden="false" customHeight="false" outlineLevel="0" collapsed="false">
      <c r="A996" s="11" t="s">
        <v>1057</v>
      </c>
      <c r="B996" s="20" t="n">
        <v>45921</v>
      </c>
      <c r="C996" s="11" t="s">
        <v>20</v>
      </c>
      <c r="D996" s="11" t="s">
        <v>37</v>
      </c>
      <c r="E996" s="11" t="s">
        <v>49</v>
      </c>
      <c r="F996" s="11" t="s">
        <v>45</v>
      </c>
      <c r="G996" s="11" t="n">
        <v>120</v>
      </c>
      <c r="H996" s="21" t="n">
        <v>28</v>
      </c>
      <c r="I996" s="21" t="n">
        <v>17</v>
      </c>
      <c r="J996" s="22" t="n">
        <v>0.1</v>
      </c>
      <c r="K996" s="21" t="n">
        <f aca="false">G996*H996*(1-J996)</f>
        <v>3024</v>
      </c>
      <c r="L996" s="21" t="n">
        <f aca="false">G996*I996</f>
        <v>2040</v>
      </c>
      <c r="M996" s="21" t="n">
        <f aca="false">K996-L996</f>
        <v>984</v>
      </c>
      <c r="N996" s="11" t="str">
        <f aca="false">TEXT(B996,"mmm")</f>
        <v>Sep</v>
      </c>
    </row>
    <row r="997" customFormat="false" ht="15" hidden="false" customHeight="false" outlineLevel="0" collapsed="false">
      <c r="A997" s="11" t="s">
        <v>1058</v>
      </c>
      <c r="B997" s="20" t="n">
        <v>45921</v>
      </c>
      <c r="C997" s="11" t="s">
        <v>20</v>
      </c>
      <c r="D997" s="11" t="s">
        <v>33</v>
      </c>
      <c r="E997" s="11" t="s">
        <v>50</v>
      </c>
      <c r="F997" s="11" t="s">
        <v>42</v>
      </c>
      <c r="G997" s="11" t="n">
        <v>3</v>
      </c>
      <c r="H997" s="21" t="n">
        <v>780</v>
      </c>
      <c r="I997" s="21" t="n">
        <v>600</v>
      </c>
      <c r="J997" s="22" t="n">
        <v>0.05</v>
      </c>
      <c r="K997" s="21" t="n">
        <f aca="false">G997*H997*(1-J997)</f>
        <v>2223</v>
      </c>
      <c r="L997" s="21" t="n">
        <f aca="false">G997*I997</f>
        <v>1800</v>
      </c>
      <c r="M997" s="21" t="n">
        <f aca="false">K997-L997</f>
        <v>423</v>
      </c>
      <c r="N997" s="11" t="str">
        <f aca="false">TEXT(B997,"mmm")</f>
        <v>Sep</v>
      </c>
    </row>
    <row r="998" customFormat="false" ht="15" hidden="false" customHeight="false" outlineLevel="0" collapsed="false">
      <c r="A998" s="11" t="s">
        <v>1059</v>
      </c>
      <c r="B998" s="20" t="n">
        <v>45921</v>
      </c>
      <c r="C998" s="11" t="s">
        <v>24</v>
      </c>
      <c r="D998" s="11" t="s">
        <v>37</v>
      </c>
      <c r="E998" s="11" t="s">
        <v>53</v>
      </c>
      <c r="F998" s="11" t="s">
        <v>42</v>
      </c>
      <c r="G998" s="11" t="n">
        <v>31</v>
      </c>
      <c r="H998" s="21" t="n">
        <v>9</v>
      </c>
      <c r="I998" s="21" t="n">
        <v>4.5</v>
      </c>
      <c r="J998" s="22" t="n">
        <v>0</v>
      </c>
      <c r="K998" s="21" t="n">
        <f aca="false">G998*H998*(1-J998)</f>
        <v>279</v>
      </c>
      <c r="L998" s="21" t="n">
        <f aca="false">G998*I998</f>
        <v>139.5</v>
      </c>
      <c r="M998" s="21" t="n">
        <f aca="false">K998-L998</f>
        <v>139.5</v>
      </c>
      <c r="N998" s="11" t="str">
        <f aca="false">TEXT(B998,"mmm")</f>
        <v>Sep</v>
      </c>
    </row>
    <row r="999" customFormat="false" ht="15" hidden="false" customHeight="false" outlineLevel="0" collapsed="false">
      <c r="A999" s="11" t="s">
        <v>1060</v>
      </c>
      <c r="B999" s="20" t="n">
        <v>45922</v>
      </c>
      <c r="C999" s="11" t="s">
        <v>18</v>
      </c>
      <c r="D999" s="11" t="s">
        <v>35</v>
      </c>
      <c r="E999" s="11" t="s">
        <v>56</v>
      </c>
      <c r="F999" s="11" t="s">
        <v>44</v>
      </c>
      <c r="G999" s="11" t="n">
        <v>1</v>
      </c>
      <c r="H999" s="21" t="n">
        <v>110</v>
      </c>
      <c r="I999" s="21" t="n">
        <v>62</v>
      </c>
      <c r="J999" s="22" t="n">
        <v>0</v>
      </c>
      <c r="K999" s="21" t="n">
        <f aca="false">G999*H999*(1-J999)</f>
        <v>110</v>
      </c>
      <c r="L999" s="21" t="n">
        <f aca="false">G999*I999</f>
        <v>62</v>
      </c>
      <c r="M999" s="21" t="n">
        <f aca="false">K999-L999</f>
        <v>48</v>
      </c>
      <c r="N999" s="11" t="str">
        <f aca="false">TEXT(B999,"mmm")</f>
        <v>Sep</v>
      </c>
    </row>
    <row r="1000" customFormat="false" ht="15" hidden="false" customHeight="false" outlineLevel="0" collapsed="false">
      <c r="A1000" s="11" t="s">
        <v>1061</v>
      </c>
      <c r="B1000" s="20" t="n">
        <v>45922</v>
      </c>
      <c r="C1000" s="11" t="s">
        <v>24</v>
      </c>
      <c r="D1000" s="11" t="s">
        <v>37</v>
      </c>
      <c r="E1000" s="11" t="s">
        <v>52</v>
      </c>
      <c r="F1000" s="11" t="s">
        <v>42</v>
      </c>
      <c r="G1000" s="11" t="n">
        <v>25</v>
      </c>
      <c r="H1000" s="21" t="n">
        <v>12</v>
      </c>
      <c r="I1000" s="21" t="n">
        <v>6</v>
      </c>
      <c r="J1000" s="22" t="n">
        <v>0.05</v>
      </c>
      <c r="K1000" s="21" t="n">
        <f aca="false">G1000*H1000*(1-J1000)</f>
        <v>285</v>
      </c>
      <c r="L1000" s="21" t="n">
        <f aca="false">G1000*I1000</f>
        <v>150</v>
      </c>
      <c r="M1000" s="21" t="n">
        <f aca="false">K1000-L1000</f>
        <v>135</v>
      </c>
      <c r="N1000" s="11" t="str">
        <f aca="false">TEXT(B1000,"mmm")</f>
        <v>Sep</v>
      </c>
    </row>
    <row r="1001" customFormat="false" ht="15" hidden="false" customHeight="false" outlineLevel="0" collapsed="false">
      <c r="A1001" s="11" t="s">
        <v>1062</v>
      </c>
      <c r="B1001" s="20" t="n">
        <v>45922</v>
      </c>
      <c r="C1001" s="11" t="s">
        <v>20</v>
      </c>
      <c r="D1001" s="11" t="s">
        <v>37</v>
      </c>
      <c r="E1001" s="11" t="s">
        <v>49</v>
      </c>
      <c r="F1001" s="11" t="s">
        <v>42</v>
      </c>
      <c r="G1001" s="11" t="n">
        <v>7</v>
      </c>
      <c r="H1001" s="21" t="n">
        <v>28</v>
      </c>
      <c r="I1001" s="21" t="n">
        <v>17</v>
      </c>
      <c r="J1001" s="22" t="n">
        <v>0.15</v>
      </c>
      <c r="K1001" s="21" t="n">
        <f aca="false">G1001*H1001*(1-J1001)</f>
        <v>166.6</v>
      </c>
      <c r="L1001" s="21" t="n">
        <f aca="false">G1001*I1001</f>
        <v>119</v>
      </c>
      <c r="M1001" s="21" t="n">
        <f aca="false">K1001-L1001</f>
        <v>47.6</v>
      </c>
      <c r="N1001" s="11" t="str">
        <f aca="false">TEXT(B1001,"mmm")</f>
        <v>Sep</v>
      </c>
    </row>
    <row r="1002" customFormat="false" ht="15" hidden="false" customHeight="false" outlineLevel="0" collapsed="false">
      <c r="A1002" s="11" t="s">
        <v>1063</v>
      </c>
      <c r="B1002" s="20" t="n">
        <v>45922</v>
      </c>
      <c r="C1002" s="11" t="s">
        <v>22</v>
      </c>
      <c r="D1002" s="11" t="s">
        <v>35</v>
      </c>
      <c r="E1002" s="11" t="s">
        <v>55</v>
      </c>
      <c r="F1002" s="11" t="s">
        <v>42</v>
      </c>
      <c r="G1002" s="11" t="n">
        <v>2</v>
      </c>
      <c r="H1002" s="21" t="n">
        <v>150</v>
      </c>
      <c r="I1002" s="21" t="n">
        <v>82</v>
      </c>
      <c r="J1002" s="22" t="n">
        <v>0</v>
      </c>
      <c r="K1002" s="21" t="n">
        <f aca="false">G1002*H1002*(1-J1002)</f>
        <v>300</v>
      </c>
      <c r="L1002" s="21" t="n">
        <f aca="false">G1002*I1002</f>
        <v>164</v>
      </c>
      <c r="M1002" s="21" t="n">
        <f aca="false">K1002-L1002</f>
        <v>136</v>
      </c>
      <c r="N1002" s="11" t="str">
        <f aca="false">TEXT(B1002,"mmm")</f>
        <v>Sep</v>
      </c>
    </row>
    <row r="1003" customFormat="false" ht="15" hidden="false" customHeight="false" outlineLevel="0" collapsed="false">
      <c r="A1003" s="11" t="s">
        <v>1064</v>
      </c>
      <c r="B1003" s="20" t="n">
        <v>45923</v>
      </c>
      <c r="C1003" s="11" t="s">
        <v>18</v>
      </c>
      <c r="D1003" s="11" t="s">
        <v>37</v>
      </c>
      <c r="E1003" s="11" t="s">
        <v>52</v>
      </c>
      <c r="F1003" s="11" t="s">
        <v>44</v>
      </c>
      <c r="G1003" s="11" t="n">
        <v>37</v>
      </c>
      <c r="H1003" s="21" t="n">
        <v>12</v>
      </c>
      <c r="I1003" s="21" t="n">
        <v>6</v>
      </c>
      <c r="J1003" s="22" t="n">
        <v>0.05</v>
      </c>
      <c r="K1003" s="21" t="n">
        <f aca="false">G1003*H1003*(1-J1003)</f>
        <v>421.8</v>
      </c>
      <c r="L1003" s="21" t="n">
        <f aca="false">G1003*I1003</f>
        <v>222</v>
      </c>
      <c r="M1003" s="21" t="n">
        <f aca="false">K1003-L1003</f>
        <v>199.8</v>
      </c>
      <c r="N1003" s="11" t="str">
        <f aca="false">TEXT(B1003,"mmm")</f>
        <v>Sep</v>
      </c>
    </row>
    <row r="1004" customFormat="false" ht="15" hidden="false" customHeight="false" outlineLevel="0" collapsed="false">
      <c r="A1004" s="11" t="s">
        <v>1065</v>
      </c>
      <c r="B1004" s="20" t="n">
        <v>45923</v>
      </c>
      <c r="C1004" s="11" t="s">
        <v>24</v>
      </c>
      <c r="D1004" s="11" t="s">
        <v>33</v>
      </c>
      <c r="E1004" s="11" t="s">
        <v>50</v>
      </c>
      <c r="F1004" s="11" t="s">
        <v>45</v>
      </c>
      <c r="G1004" s="11" t="n">
        <v>3</v>
      </c>
      <c r="H1004" s="21" t="n">
        <v>780</v>
      </c>
      <c r="I1004" s="21" t="n">
        <v>600</v>
      </c>
      <c r="J1004" s="22" t="n">
        <v>0.15</v>
      </c>
      <c r="K1004" s="21" t="n">
        <f aca="false">G1004*H1004*(1-J1004)</f>
        <v>1989</v>
      </c>
      <c r="L1004" s="21" t="n">
        <f aca="false">G1004*I1004</f>
        <v>1800</v>
      </c>
      <c r="M1004" s="21" t="n">
        <f aca="false">K1004-L1004</f>
        <v>189</v>
      </c>
      <c r="N1004" s="11" t="str">
        <f aca="false">TEXT(B1004,"mmm")</f>
        <v>Sep</v>
      </c>
    </row>
    <row r="1005" customFormat="false" ht="15" hidden="false" customHeight="false" outlineLevel="0" collapsed="false">
      <c r="A1005" s="11" t="s">
        <v>1066</v>
      </c>
      <c r="B1005" s="20" t="n">
        <v>45923</v>
      </c>
      <c r="C1005" s="11" t="s">
        <v>18</v>
      </c>
      <c r="D1005" s="11" t="s">
        <v>33</v>
      </c>
      <c r="E1005" s="11" t="s">
        <v>51</v>
      </c>
      <c r="F1005" s="11" t="s">
        <v>44</v>
      </c>
      <c r="G1005" s="11" t="n">
        <v>4</v>
      </c>
      <c r="H1005" s="21" t="n">
        <v>90</v>
      </c>
      <c r="I1005" s="21" t="n">
        <v>58</v>
      </c>
      <c r="J1005" s="22" t="n">
        <v>0.05</v>
      </c>
      <c r="K1005" s="21" t="n">
        <f aca="false">G1005*H1005*(1-J1005)</f>
        <v>342</v>
      </c>
      <c r="L1005" s="21" t="n">
        <f aca="false">G1005*I1005</f>
        <v>232</v>
      </c>
      <c r="M1005" s="21" t="n">
        <f aca="false">K1005-L1005</f>
        <v>110</v>
      </c>
      <c r="N1005" s="11" t="str">
        <f aca="false">TEXT(B1005,"mmm")</f>
        <v>Sep</v>
      </c>
    </row>
    <row r="1006" customFormat="false" ht="15" hidden="false" customHeight="false" outlineLevel="0" collapsed="false">
      <c r="A1006" s="11" t="s">
        <v>1067</v>
      </c>
      <c r="B1006" s="20" t="n">
        <v>45923</v>
      </c>
      <c r="C1006" s="11" t="s">
        <v>20</v>
      </c>
      <c r="D1006" s="11" t="s">
        <v>35</v>
      </c>
      <c r="E1006" s="11" t="s">
        <v>56</v>
      </c>
      <c r="F1006" s="11" t="s">
        <v>42</v>
      </c>
      <c r="G1006" s="11" t="n">
        <v>3</v>
      </c>
      <c r="H1006" s="21" t="n">
        <v>110</v>
      </c>
      <c r="I1006" s="21" t="n">
        <v>62</v>
      </c>
      <c r="J1006" s="22" t="n">
        <v>0.15</v>
      </c>
      <c r="K1006" s="21" t="n">
        <f aca="false">G1006*H1006*(1-J1006)</f>
        <v>280.5</v>
      </c>
      <c r="L1006" s="21" t="n">
        <f aca="false">G1006*I1006</f>
        <v>186</v>
      </c>
      <c r="M1006" s="21" t="n">
        <f aca="false">K1006-L1006</f>
        <v>94.5</v>
      </c>
      <c r="N1006" s="11" t="str">
        <f aca="false">TEXT(B1006,"mmm")</f>
        <v>Sep</v>
      </c>
    </row>
    <row r="1007" customFormat="false" ht="15" hidden="false" customHeight="false" outlineLevel="0" collapsed="false">
      <c r="A1007" s="11" t="s">
        <v>1068</v>
      </c>
      <c r="B1007" s="20" t="n">
        <v>45923</v>
      </c>
      <c r="C1007" s="11" t="s">
        <v>22</v>
      </c>
      <c r="D1007" s="11" t="s">
        <v>35</v>
      </c>
      <c r="E1007" s="11" t="s">
        <v>54</v>
      </c>
      <c r="F1007" s="11" t="s">
        <v>44</v>
      </c>
      <c r="G1007" s="11" t="n">
        <v>1</v>
      </c>
      <c r="H1007" s="21" t="n">
        <v>320</v>
      </c>
      <c r="I1007" s="21" t="n">
        <v>185</v>
      </c>
      <c r="J1007" s="22" t="n">
        <v>0.1</v>
      </c>
      <c r="K1007" s="21" t="n">
        <f aca="false">G1007*H1007*(1-J1007)</f>
        <v>288</v>
      </c>
      <c r="L1007" s="21" t="n">
        <f aca="false">G1007*I1007</f>
        <v>185</v>
      </c>
      <c r="M1007" s="21" t="n">
        <f aca="false">K1007-L1007</f>
        <v>103</v>
      </c>
      <c r="N1007" s="11" t="str">
        <f aca="false">TEXT(B1007,"mmm")</f>
        <v>Sep</v>
      </c>
    </row>
    <row r="1008" customFormat="false" ht="15" hidden="false" customHeight="false" outlineLevel="0" collapsed="false">
      <c r="A1008" s="11" t="s">
        <v>1069</v>
      </c>
      <c r="B1008" s="20" t="n">
        <v>45923</v>
      </c>
      <c r="C1008" s="11" t="s">
        <v>24</v>
      </c>
      <c r="D1008" s="11" t="s">
        <v>37</v>
      </c>
      <c r="E1008" s="11" t="s">
        <v>49</v>
      </c>
      <c r="F1008" s="11" t="s">
        <v>42</v>
      </c>
      <c r="G1008" s="11" t="n">
        <v>25</v>
      </c>
      <c r="H1008" s="21" t="n">
        <v>28</v>
      </c>
      <c r="I1008" s="21" t="n">
        <v>17</v>
      </c>
      <c r="J1008" s="22" t="n">
        <v>0.1</v>
      </c>
      <c r="K1008" s="21" t="n">
        <f aca="false">G1008*H1008*(1-J1008)</f>
        <v>630</v>
      </c>
      <c r="L1008" s="21" t="n">
        <f aca="false">G1008*I1008</f>
        <v>425</v>
      </c>
      <c r="M1008" s="21" t="n">
        <f aca="false">K1008-L1008</f>
        <v>205</v>
      </c>
      <c r="N1008" s="11" t="str">
        <f aca="false">TEXT(B1008,"mmm")</f>
        <v>Sep</v>
      </c>
    </row>
    <row r="1009" customFormat="false" ht="15" hidden="false" customHeight="false" outlineLevel="0" collapsed="false">
      <c r="A1009" s="11" t="s">
        <v>1070</v>
      </c>
      <c r="B1009" s="20" t="n">
        <v>45923</v>
      </c>
      <c r="C1009" s="11" t="s">
        <v>18</v>
      </c>
      <c r="D1009" s="11" t="s">
        <v>35</v>
      </c>
      <c r="E1009" s="11" t="s">
        <v>55</v>
      </c>
      <c r="F1009" s="11" t="s">
        <v>42</v>
      </c>
      <c r="G1009" s="11" t="n">
        <v>1</v>
      </c>
      <c r="H1009" s="21" t="n">
        <v>150</v>
      </c>
      <c r="I1009" s="21" t="n">
        <v>82</v>
      </c>
      <c r="J1009" s="22" t="n">
        <v>0.05</v>
      </c>
      <c r="K1009" s="21" t="n">
        <f aca="false">G1009*H1009*(1-J1009)</f>
        <v>142.5</v>
      </c>
      <c r="L1009" s="21" t="n">
        <f aca="false">G1009*I1009</f>
        <v>82</v>
      </c>
      <c r="M1009" s="21" t="n">
        <f aca="false">K1009-L1009</f>
        <v>60.5</v>
      </c>
      <c r="N1009" s="11" t="str">
        <f aca="false">TEXT(B1009,"mmm")</f>
        <v>Sep</v>
      </c>
    </row>
    <row r="1010" customFormat="false" ht="15" hidden="false" customHeight="false" outlineLevel="0" collapsed="false">
      <c r="A1010" s="11" t="s">
        <v>1071</v>
      </c>
      <c r="B1010" s="20" t="n">
        <v>45923</v>
      </c>
      <c r="C1010" s="11" t="s">
        <v>20</v>
      </c>
      <c r="D1010" s="11" t="s">
        <v>33</v>
      </c>
      <c r="E1010" s="11" t="s">
        <v>48</v>
      </c>
      <c r="F1010" s="11" t="s">
        <v>45</v>
      </c>
      <c r="G1010" s="11" t="n">
        <v>2</v>
      </c>
      <c r="H1010" s="21" t="n">
        <v>520</v>
      </c>
      <c r="I1010" s="21" t="n">
        <v>415</v>
      </c>
      <c r="J1010" s="22" t="n">
        <v>0.2</v>
      </c>
      <c r="K1010" s="21" t="n">
        <f aca="false">G1010*H1010*(1-J1010)</f>
        <v>832</v>
      </c>
      <c r="L1010" s="21" t="n">
        <f aca="false">G1010*I1010</f>
        <v>830</v>
      </c>
      <c r="M1010" s="21" t="n">
        <f aca="false">K1010-L1010</f>
        <v>2</v>
      </c>
      <c r="N1010" s="11" t="str">
        <f aca="false">TEXT(B1010,"mmm")</f>
        <v>Sep</v>
      </c>
    </row>
    <row r="1011" customFormat="false" ht="15" hidden="false" customHeight="false" outlineLevel="0" collapsed="false">
      <c r="A1011" s="11" t="s">
        <v>1072</v>
      </c>
      <c r="B1011" s="20" t="n">
        <v>45923</v>
      </c>
      <c r="C1011" s="11" t="s">
        <v>22</v>
      </c>
      <c r="D1011" s="11" t="s">
        <v>37</v>
      </c>
      <c r="E1011" s="11" t="s">
        <v>52</v>
      </c>
      <c r="F1011" s="11" t="s">
        <v>44</v>
      </c>
      <c r="G1011" s="11" t="n">
        <v>38</v>
      </c>
      <c r="H1011" s="21" t="n">
        <v>12</v>
      </c>
      <c r="I1011" s="21" t="n">
        <v>6</v>
      </c>
      <c r="J1011" s="22" t="n">
        <v>0.05</v>
      </c>
      <c r="K1011" s="21" t="n">
        <f aca="false">G1011*H1011*(1-J1011)</f>
        <v>433.2</v>
      </c>
      <c r="L1011" s="21" t="n">
        <f aca="false">G1011*I1011</f>
        <v>228</v>
      </c>
      <c r="M1011" s="21" t="n">
        <f aca="false">K1011-L1011</f>
        <v>205.2</v>
      </c>
      <c r="N1011" s="11" t="str">
        <f aca="false">TEXT(B1011,"mmm")</f>
        <v>Sep</v>
      </c>
    </row>
    <row r="1012" customFormat="false" ht="15" hidden="false" customHeight="false" outlineLevel="0" collapsed="false">
      <c r="A1012" s="11" t="s">
        <v>1073</v>
      </c>
      <c r="B1012" s="20" t="n">
        <v>45923</v>
      </c>
      <c r="C1012" s="11" t="s">
        <v>20</v>
      </c>
      <c r="D1012" s="11" t="s">
        <v>37</v>
      </c>
      <c r="E1012" s="11" t="s">
        <v>53</v>
      </c>
      <c r="F1012" s="11" t="s">
        <v>42</v>
      </c>
      <c r="G1012" s="11" t="n">
        <v>16</v>
      </c>
      <c r="H1012" s="21" t="n">
        <v>9</v>
      </c>
      <c r="I1012" s="21" t="n">
        <v>4.5</v>
      </c>
      <c r="J1012" s="22" t="n">
        <v>0.15</v>
      </c>
      <c r="K1012" s="21" t="n">
        <f aca="false">G1012*H1012*(1-J1012)</f>
        <v>122.4</v>
      </c>
      <c r="L1012" s="21" t="n">
        <f aca="false">G1012*I1012</f>
        <v>72</v>
      </c>
      <c r="M1012" s="21" t="n">
        <f aca="false">K1012-L1012</f>
        <v>50.4</v>
      </c>
      <c r="N1012" s="11" t="str">
        <f aca="false">TEXT(B1012,"mmm")</f>
        <v>Sep</v>
      </c>
    </row>
    <row r="1013" customFormat="false" ht="15" hidden="false" customHeight="false" outlineLevel="0" collapsed="false">
      <c r="A1013" s="11" t="s">
        <v>1074</v>
      </c>
      <c r="B1013" s="20" t="n">
        <v>45923</v>
      </c>
      <c r="C1013" s="11" t="s">
        <v>20</v>
      </c>
      <c r="D1013" s="11" t="s">
        <v>35</v>
      </c>
      <c r="E1013" s="11" t="s">
        <v>56</v>
      </c>
      <c r="F1013" s="11" t="s">
        <v>45</v>
      </c>
      <c r="G1013" s="11" t="n">
        <v>3</v>
      </c>
      <c r="H1013" s="21" t="n">
        <v>110</v>
      </c>
      <c r="I1013" s="21" t="n">
        <v>62</v>
      </c>
      <c r="J1013" s="22" t="n">
        <v>0.1</v>
      </c>
      <c r="K1013" s="21" t="n">
        <f aca="false">G1013*H1013*(1-J1013)</f>
        <v>297</v>
      </c>
      <c r="L1013" s="21" t="n">
        <f aca="false">G1013*I1013</f>
        <v>186</v>
      </c>
      <c r="M1013" s="21" t="n">
        <f aca="false">K1013-L1013</f>
        <v>111</v>
      </c>
      <c r="N1013" s="11" t="str">
        <f aca="false">TEXT(B1013,"mmm")</f>
        <v>Sep</v>
      </c>
    </row>
    <row r="1014" customFormat="false" ht="15" hidden="false" customHeight="false" outlineLevel="0" collapsed="false">
      <c r="A1014" s="11" t="s">
        <v>1075</v>
      </c>
      <c r="B1014" s="20" t="n">
        <v>45923</v>
      </c>
      <c r="C1014" s="11" t="s">
        <v>20</v>
      </c>
      <c r="D1014" s="11" t="s">
        <v>33</v>
      </c>
      <c r="E1014" s="11" t="s">
        <v>51</v>
      </c>
      <c r="F1014" s="11" t="s">
        <v>42</v>
      </c>
      <c r="G1014" s="11" t="n">
        <v>6</v>
      </c>
      <c r="H1014" s="21" t="n">
        <v>90</v>
      </c>
      <c r="I1014" s="21" t="n">
        <v>58</v>
      </c>
      <c r="J1014" s="22" t="n">
        <v>0</v>
      </c>
      <c r="K1014" s="21" t="n">
        <f aca="false">G1014*H1014*(1-J1014)</f>
        <v>540</v>
      </c>
      <c r="L1014" s="21" t="n">
        <f aca="false">G1014*I1014</f>
        <v>348</v>
      </c>
      <c r="M1014" s="21" t="n">
        <f aca="false">K1014-L1014</f>
        <v>192</v>
      </c>
      <c r="N1014" s="11" t="str">
        <f aca="false">TEXT(B1014,"mmm")</f>
        <v>Sep</v>
      </c>
    </row>
    <row r="1015" customFormat="false" ht="15" hidden="false" customHeight="false" outlineLevel="0" collapsed="false">
      <c r="A1015" s="11" t="s">
        <v>1076</v>
      </c>
      <c r="B1015" s="20" t="n">
        <v>45924</v>
      </c>
      <c r="C1015" s="11" t="s">
        <v>24</v>
      </c>
      <c r="D1015" s="11" t="s">
        <v>37</v>
      </c>
      <c r="E1015" s="11" t="s">
        <v>53</v>
      </c>
      <c r="F1015" s="11" t="s">
        <v>42</v>
      </c>
      <c r="G1015" s="11" t="n">
        <v>3</v>
      </c>
      <c r="H1015" s="21" t="n">
        <v>9</v>
      </c>
      <c r="I1015" s="21" t="n">
        <v>4.5</v>
      </c>
      <c r="J1015" s="22" t="n">
        <v>0.1</v>
      </c>
      <c r="K1015" s="21" t="n">
        <f aca="false">G1015*H1015*(1-J1015)</f>
        <v>24.3</v>
      </c>
      <c r="L1015" s="21" t="n">
        <f aca="false">G1015*I1015</f>
        <v>13.5</v>
      </c>
      <c r="M1015" s="21" t="n">
        <f aca="false">K1015-L1015</f>
        <v>10.8</v>
      </c>
      <c r="N1015" s="11" t="str">
        <f aca="false">TEXT(B1015,"mmm")</f>
        <v>Sep</v>
      </c>
    </row>
    <row r="1016" customFormat="false" ht="15" hidden="false" customHeight="false" outlineLevel="0" collapsed="false">
      <c r="A1016" s="11" t="s">
        <v>1077</v>
      </c>
      <c r="B1016" s="20" t="n">
        <v>45924</v>
      </c>
      <c r="C1016" s="11" t="s">
        <v>18</v>
      </c>
      <c r="D1016" s="11" t="s">
        <v>35</v>
      </c>
      <c r="E1016" s="11" t="s">
        <v>56</v>
      </c>
      <c r="F1016" s="11" t="s">
        <v>45</v>
      </c>
      <c r="G1016" s="11" t="n">
        <v>4</v>
      </c>
      <c r="H1016" s="21" t="n">
        <v>110</v>
      </c>
      <c r="I1016" s="21" t="n">
        <v>62</v>
      </c>
      <c r="J1016" s="22" t="n">
        <v>0.1</v>
      </c>
      <c r="K1016" s="21" t="n">
        <f aca="false">G1016*H1016*(1-J1016)</f>
        <v>396</v>
      </c>
      <c r="L1016" s="21" t="n">
        <f aca="false">G1016*I1016</f>
        <v>248</v>
      </c>
      <c r="M1016" s="21" t="n">
        <f aca="false">K1016-L1016</f>
        <v>148</v>
      </c>
      <c r="N1016" s="11" t="str">
        <f aca="false">TEXT(B1016,"mmm")</f>
        <v>Sep</v>
      </c>
    </row>
    <row r="1017" customFormat="false" ht="15" hidden="false" customHeight="false" outlineLevel="0" collapsed="false">
      <c r="A1017" s="11" t="s">
        <v>1078</v>
      </c>
      <c r="B1017" s="20" t="n">
        <v>45925</v>
      </c>
      <c r="C1017" s="11" t="s">
        <v>18</v>
      </c>
      <c r="D1017" s="11" t="s">
        <v>33</v>
      </c>
      <c r="E1017" s="11" t="s">
        <v>51</v>
      </c>
      <c r="F1017" s="11" t="s">
        <v>44</v>
      </c>
      <c r="G1017" s="11" t="n">
        <v>6</v>
      </c>
      <c r="H1017" s="21" t="n">
        <v>90</v>
      </c>
      <c r="I1017" s="21" t="n">
        <v>58</v>
      </c>
      <c r="J1017" s="22" t="n">
        <v>0</v>
      </c>
      <c r="K1017" s="21" t="n">
        <f aca="false">G1017*H1017*(1-J1017)</f>
        <v>540</v>
      </c>
      <c r="L1017" s="21" t="n">
        <f aca="false">G1017*I1017</f>
        <v>348</v>
      </c>
      <c r="M1017" s="21" t="n">
        <f aca="false">K1017-L1017</f>
        <v>192</v>
      </c>
      <c r="N1017" s="11" t="str">
        <f aca="false">TEXT(B1017,"mmm")</f>
        <v>Sep</v>
      </c>
    </row>
    <row r="1018" customFormat="false" ht="15" hidden="false" customHeight="false" outlineLevel="0" collapsed="false">
      <c r="A1018" s="11" t="s">
        <v>1079</v>
      </c>
      <c r="B1018" s="20" t="n">
        <v>45925</v>
      </c>
      <c r="C1018" s="11" t="s">
        <v>24</v>
      </c>
      <c r="D1018" s="11" t="s">
        <v>37</v>
      </c>
      <c r="E1018" s="11" t="s">
        <v>49</v>
      </c>
      <c r="F1018" s="11" t="s">
        <v>44</v>
      </c>
      <c r="G1018" s="11" t="n">
        <v>32</v>
      </c>
      <c r="H1018" s="21" t="n">
        <v>28</v>
      </c>
      <c r="I1018" s="21" t="n">
        <v>17</v>
      </c>
      <c r="J1018" s="22" t="n">
        <v>0.05</v>
      </c>
      <c r="K1018" s="21" t="n">
        <f aca="false">G1018*H1018*(1-J1018)</f>
        <v>851.2</v>
      </c>
      <c r="L1018" s="21" t="n">
        <f aca="false">G1018*I1018</f>
        <v>544</v>
      </c>
      <c r="M1018" s="21" t="n">
        <f aca="false">K1018-L1018</f>
        <v>307.2</v>
      </c>
      <c r="N1018" s="11" t="str">
        <f aca="false">TEXT(B1018,"mmm")</f>
        <v>Sep</v>
      </c>
    </row>
    <row r="1019" customFormat="false" ht="15" hidden="false" customHeight="false" outlineLevel="0" collapsed="false">
      <c r="A1019" s="11" t="s">
        <v>1080</v>
      </c>
      <c r="B1019" s="20" t="n">
        <v>45925</v>
      </c>
      <c r="C1019" s="11" t="s">
        <v>20</v>
      </c>
      <c r="D1019" s="11" t="s">
        <v>33</v>
      </c>
      <c r="E1019" s="11" t="s">
        <v>48</v>
      </c>
      <c r="F1019" s="11" t="s">
        <v>42</v>
      </c>
      <c r="G1019" s="11" t="n">
        <v>1</v>
      </c>
      <c r="H1019" s="21" t="n">
        <v>520</v>
      </c>
      <c r="I1019" s="21" t="n">
        <v>415</v>
      </c>
      <c r="J1019" s="22" t="n">
        <v>0.05</v>
      </c>
      <c r="K1019" s="21" t="n">
        <f aca="false">G1019*H1019*(1-J1019)</f>
        <v>494</v>
      </c>
      <c r="L1019" s="21" t="n">
        <f aca="false">G1019*I1019</f>
        <v>415</v>
      </c>
      <c r="M1019" s="21" t="n">
        <f aca="false">K1019-L1019</f>
        <v>79</v>
      </c>
      <c r="N1019" s="11" t="str">
        <f aca="false">TEXT(B1019,"mmm")</f>
        <v>Sep</v>
      </c>
    </row>
    <row r="1020" customFormat="false" ht="15" hidden="false" customHeight="false" outlineLevel="0" collapsed="false">
      <c r="A1020" s="11" t="s">
        <v>1081</v>
      </c>
      <c r="B1020" s="20" t="n">
        <v>45925</v>
      </c>
      <c r="C1020" s="11" t="s">
        <v>18</v>
      </c>
      <c r="D1020" s="11" t="s">
        <v>37</v>
      </c>
      <c r="E1020" s="11" t="s">
        <v>49</v>
      </c>
      <c r="F1020" s="11" t="s">
        <v>42</v>
      </c>
      <c r="G1020" s="11" t="n">
        <v>38</v>
      </c>
      <c r="H1020" s="21" t="n">
        <v>28</v>
      </c>
      <c r="I1020" s="21" t="n">
        <v>17</v>
      </c>
      <c r="J1020" s="22" t="n">
        <v>0.15</v>
      </c>
      <c r="K1020" s="21" t="n">
        <f aca="false">G1020*H1020*(1-J1020)</f>
        <v>904.4</v>
      </c>
      <c r="L1020" s="21" t="n">
        <f aca="false">G1020*I1020</f>
        <v>646</v>
      </c>
      <c r="M1020" s="21" t="n">
        <f aca="false">K1020-L1020</f>
        <v>258.4</v>
      </c>
      <c r="N1020" s="11" t="str">
        <f aca="false">TEXT(B1020,"mmm")</f>
        <v>Sep</v>
      </c>
    </row>
    <row r="1021" customFormat="false" ht="15" hidden="false" customHeight="false" outlineLevel="0" collapsed="false">
      <c r="A1021" s="11" t="s">
        <v>1082</v>
      </c>
      <c r="B1021" s="20" t="n">
        <v>45925</v>
      </c>
      <c r="C1021" s="11" t="s">
        <v>20</v>
      </c>
      <c r="D1021" s="11" t="s">
        <v>33</v>
      </c>
      <c r="E1021" s="11" t="s">
        <v>51</v>
      </c>
      <c r="F1021" s="11" t="s">
        <v>45</v>
      </c>
      <c r="G1021" s="11" t="n">
        <v>9</v>
      </c>
      <c r="H1021" s="21" t="n">
        <v>90</v>
      </c>
      <c r="I1021" s="21" t="n">
        <v>58</v>
      </c>
      <c r="J1021" s="22" t="n">
        <v>0.1</v>
      </c>
      <c r="K1021" s="21" t="n">
        <f aca="false">G1021*H1021*(1-J1021)</f>
        <v>729</v>
      </c>
      <c r="L1021" s="21" t="n">
        <f aca="false">G1021*I1021</f>
        <v>522</v>
      </c>
      <c r="M1021" s="21" t="n">
        <f aca="false">K1021-L1021</f>
        <v>207</v>
      </c>
      <c r="N1021" s="11" t="str">
        <f aca="false">TEXT(B1021,"mmm")</f>
        <v>Sep</v>
      </c>
    </row>
    <row r="1022" customFormat="false" ht="15" hidden="false" customHeight="false" outlineLevel="0" collapsed="false">
      <c r="A1022" s="11" t="s">
        <v>1083</v>
      </c>
      <c r="B1022" s="20" t="n">
        <v>45926</v>
      </c>
      <c r="C1022" s="11" t="s">
        <v>18</v>
      </c>
      <c r="D1022" s="11" t="s">
        <v>37</v>
      </c>
      <c r="E1022" s="11" t="s">
        <v>52</v>
      </c>
      <c r="F1022" s="11" t="s">
        <v>42</v>
      </c>
      <c r="G1022" s="11" t="n">
        <v>5</v>
      </c>
      <c r="H1022" s="21" t="n">
        <v>12</v>
      </c>
      <c r="I1022" s="21" t="n">
        <v>6</v>
      </c>
      <c r="J1022" s="22" t="n">
        <v>0.15</v>
      </c>
      <c r="K1022" s="21" t="n">
        <f aca="false">G1022*H1022*(1-J1022)</f>
        <v>51</v>
      </c>
      <c r="L1022" s="21" t="n">
        <f aca="false">G1022*I1022</f>
        <v>30</v>
      </c>
      <c r="M1022" s="21" t="n">
        <f aca="false">K1022-L1022</f>
        <v>21</v>
      </c>
      <c r="N1022" s="11" t="str">
        <f aca="false">TEXT(B1022,"mmm")</f>
        <v>Sep</v>
      </c>
    </row>
    <row r="1023" customFormat="false" ht="15" hidden="false" customHeight="false" outlineLevel="0" collapsed="false">
      <c r="A1023" s="11" t="s">
        <v>1084</v>
      </c>
      <c r="B1023" s="20" t="n">
        <v>45926</v>
      </c>
      <c r="C1023" s="11" t="s">
        <v>20</v>
      </c>
      <c r="D1023" s="11" t="s">
        <v>35</v>
      </c>
      <c r="E1023" s="11" t="s">
        <v>54</v>
      </c>
      <c r="F1023" s="11" t="s">
        <v>44</v>
      </c>
      <c r="G1023" s="11" t="n">
        <v>2</v>
      </c>
      <c r="H1023" s="21" t="n">
        <v>320</v>
      </c>
      <c r="I1023" s="21" t="n">
        <v>185</v>
      </c>
      <c r="J1023" s="22" t="n">
        <v>0</v>
      </c>
      <c r="K1023" s="21" t="n">
        <f aca="false">G1023*H1023*(1-J1023)</f>
        <v>640</v>
      </c>
      <c r="L1023" s="21" t="n">
        <f aca="false">G1023*I1023</f>
        <v>370</v>
      </c>
      <c r="M1023" s="21" t="n">
        <f aca="false">K1023-L1023</f>
        <v>270</v>
      </c>
      <c r="N1023" s="11" t="str">
        <f aca="false">TEXT(B1023,"mmm")</f>
        <v>Sep</v>
      </c>
    </row>
    <row r="1024" customFormat="false" ht="15" hidden="false" customHeight="false" outlineLevel="0" collapsed="false">
      <c r="A1024" s="11" t="s">
        <v>1085</v>
      </c>
      <c r="B1024" s="20" t="n">
        <v>45926</v>
      </c>
      <c r="C1024" s="11" t="s">
        <v>24</v>
      </c>
      <c r="D1024" s="11" t="s">
        <v>35</v>
      </c>
      <c r="E1024" s="11" t="s">
        <v>54</v>
      </c>
      <c r="F1024" s="11" t="s">
        <v>42</v>
      </c>
      <c r="G1024" s="11" t="n">
        <v>3</v>
      </c>
      <c r="H1024" s="21" t="n">
        <v>320</v>
      </c>
      <c r="I1024" s="21" t="n">
        <v>185</v>
      </c>
      <c r="J1024" s="22" t="n">
        <v>0.15</v>
      </c>
      <c r="K1024" s="21" t="n">
        <f aca="false">G1024*H1024*(1-J1024)</f>
        <v>816</v>
      </c>
      <c r="L1024" s="21" t="n">
        <f aca="false">G1024*I1024</f>
        <v>555</v>
      </c>
      <c r="M1024" s="21" t="n">
        <f aca="false">K1024-L1024</f>
        <v>261</v>
      </c>
      <c r="N1024" s="11" t="str">
        <f aca="false">TEXT(B1024,"mmm")</f>
        <v>Sep</v>
      </c>
    </row>
    <row r="1025" customFormat="false" ht="15" hidden="false" customHeight="false" outlineLevel="0" collapsed="false">
      <c r="A1025" s="11" t="s">
        <v>1086</v>
      </c>
      <c r="B1025" s="20" t="n">
        <v>45926</v>
      </c>
      <c r="C1025" s="11" t="s">
        <v>22</v>
      </c>
      <c r="D1025" s="11" t="s">
        <v>35</v>
      </c>
      <c r="E1025" s="11" t="s">
        <v>55</v>
      </c>
      <c r="F1025" s="11" t="s">
        <v>42</v>
      </c>
      <c r="G1025" s="11" t="n">
        <v>1</v>
      </c>
      <c r="H1025" s="21" t="n">
        <v>150</v>
      </c>
      <c r="I1025" s="21" t="n">
        <v>82</v>
      </c>
      <c r="J1025" s="22" t="n">
        <v>0</v>
      </c>
      <c r="K1025" s="21" t="n">
        <f aca="false">G1025*H1025*(1-J1025)</f>
        <v>150</v>
      </c>
      <c r="L1025" s="21" t="n">
        <f aca="false">G1025*I1025</f>
        <v>82</v>
      </c>
      <c r="M1025" s="21" t="n">
        <f aca="false">K1025-L1025</f>
        <v>68</v>
      </c>
      <c r="N1025" s="11" t="str">
        <f aca="false">TEXT(B1025,"mmm")</f>
        <v>Sep</v>
      </c>
    </row>
    <row r="1026" customFormat="false" ht="15" hidden="false" customHeight="false" outlineLevel="0" collapsed="false">
      <c r="A1026" s="11" t="s">
        <v>1087</v>
      </c>
      <c r="B1026" s="20" t="n">
        <v>45927</v>
      </c>
      <c r="C1026" s="11" t="s">
        <v>22</v>
      </c>
      <c r="D1026" s="11" t="s">
        <v>33</v>
      </c>
      <c r="E1026" s="11" t="s">
        <v>48</v>
      </c>
      <c r="F1026" s="11" t="s">
        <v>42</v>
      </c>
      <c r="G1026" s="11" t="n">
        <v>3</v>
      </c>
      <c r="H1026" s="21" t="n">
        <v>520</v>
      </c>
      <c r="I1026" s="21" t="n">
        <v>415</v>
      </c>
      <c r="J1026" s="22" t="n">
        <v>0</v>
      </c>
      <c r="K1026" s="21" t="n">
        <f aca="false">G1026*H1026*(1-J1026)</f>
        <v>1560</v>
      </c>
      <c r="L1026" s="21" t="n">
        <f aca="false">G1026*I1026</f>
        <v>1245</v>
      </c>
      <c r="M1026" s="21" t="n">
        <f aca="false">K1026-L1026</f>
        <v>315</v>
      </c>
      <c r="N1026" s="11" t="str">
        <f aca="false">TEXT(B1026,"mmm")</f>
        <v>Sep</v>
      </c>
    </row>
    <row r="1027" customFormat="false" ht="15" hidden="false" customHeight="false" outlineLevel="0" collapsed="false">
      <c r="A1027" s="11" t="s">
        <v>1088</v>
      </c>
      <c r="B1027" s="20" t="n">
        <v>45927</v>
      </c>
      <c r="C1027" s="11" t="s">
        <v>18</v>
      </c>
      <c r="D1027" s="11" t="s">
        <v>37</v>
      </c>
      <c r="E1027" s="11" t="s">
        <v>49</v>
      </c>
      <c r="F1027" s="11" t="s">
        <v>42</v>
      </c>
      <c r="G1027" s="11" t="n">
        <v>29</v>
      </c>
      <c r="H1027" s="21" t="n">
        <v>28</v>
      </c>
      <c r="I1027" s="21" t="n">
        <v>17</v>
      </c>
      <c r="J1027" s="22" t="n">
        <v>0.05</v>
      </c>
      <c r="K1027" s="21" t="n">
        <f aca="false">G1027*H1027*(1-J1027)</f>
        <v>771.4</v>
      </c>
      <c r="L1027" s="21" t="n">
        <f aca="false">G1027*I1027</f>
        <v>493</v>
      </c>
      <c r="M1027" s="21" t="n">
        <f aca="false">K1027-L1027</f>
        <v>278.4</v>
      </c>
      <c r="N1027" s="11" t="str">
        <f aca="false">TEXT(B1027,"mmm")</f>
        <v>Sep</v>
      </c>
    </row>
    <row r="1028" customFormat="false" ht="15" hidden="false" customHeight="false" outlineLevel="0" collapsed="false">
      <c r="A1028" s="11" t="s">
        <v>1089</v>
      </c>
      <c r="B1028" s="20" t="n">
        <v>45927</v>
      </c>
      <c r="C1028" s="11" t="s">
        <v>20</v>
      </c>
      <c r="D1028" s="11" t="s">
        <v>35</v>
      </c>
      <c r="E1028" s="11" t="s">
        <v>54</v>
      </c>
      <c r="F1028" s="11" t="s">
        <v>42</v>
      </c>
      <c r="G1028" s="11" t="n">
        <v>2</v>
      </c>
      <c r="H1028" s="21" t="n">
        <v>320</v>
      </c>
      <c r="I1028" s="21" t="n">
        <v>185</v>
      </c>
      <c r="J1028" s="22" t="n">
        <v>0.05</v>
      </c>
      <c r="K1028" s="21" t="n">
        <f aca="false">G1028*H1028*(1-J1028)</f>
        <v>608</v>
      </c>
      <c r="L1028" s="21" t="n">
        <f aca="false">G1028*I1028</f>
        <v>370</v>
      </c>
      <c r="M1028" s="21" t="n">
        <f aca="false">K1028-L1028</f>
        <v>238</v>
      </c>
      <c r="N1028" s="11" t="str">
        <f aca="false">TEXT(B1028,"mmm")</f>
        <v>Sep</v>
      </c>
    </row>
    <row r="1029" customFormat="false" ht="15" hidden="false" customHeight="false" outlineLevel="0" collapsed="false">
      <c r="A1029" s="11" t="s">
        <v>1090</v>
      </c>
      <c r="B1029" s="20" t="n">
        <v>45927</v>
      </c>
      <c r="C1029" s="11" t="s">
        <v>22</v>
      </c>
      <c r="D1029" s="11" t="s">
        <v>37</v>
      </c>
      <c r="E1029" s="11" t="s">
        <v>52</v>
      </c>
      <c r="F1029" s="11" t="s">
        <v>44</v>
      </c>
      <c r="G1029" s="11" t="n">
        <v>23</v>
      </c>
      <c r="H1029" s="21" t="n">
        <v>12</v>
      </c>
      <c r="I1029" s="21" t="n">
        <v>6</v>
      </c>
      <c r="J1029" s="22" t="n">
        <v>0</v>
      </c>
      <c r="K1029" s="21" t="n">
        <f aca="false">G1029*H1029*(1-J1029)</f>
        <v>276</v>
      </c>
      <c r="L1029" s="21" t="n">
        <f aca="false">G1029*I1029</f>
        <v>138</v>
      </c>
      <c r="M1029" s="21" t="n">
        <f aca="false">K1029-L1029</f>
        <v>138</v>
      </c>
      <c r="N1029" s="11" t="str">
        <f aca="false">TEXT(B1029,"mmm")</f>
        <v>Sep</v>
      </c>
    </row>
    <row r="1030" customFormat="false" ht="15" hidden="false" customHeight="false" outlineLevel="0" collapsed="false">
      <c r="A1030" s="11" t="s">
        <v>1091</v>
      </c>
      <c r="B1030" s="20" t="n">
        <v>45928</v>
      </c>
      <c r="C1030" s="11" t="s">
        <v>24</v>
      </c>
      <c r="D1030" s="11" t="s">
        <v>35</v>
      </c>
      <c r="E1030" s="11" t="s">
        <v>56</v>
      </c>
      <c r="F1030" s="11" t="s">
        <v>45</v>
      </c>
      <c r="G1030" s="11" t="n">
        <v>3</v>
      </c>
      <c r="H1030" s="21" t="n">
        <v>110</v>
      </c>
      <c r="I1030" s="21" t="n">
        <v>62</v>
      </c>
      <c r="J1030" s="22" t="n">
        <v>0.15</v>
      </c>
      <c r="K1030" s="21" t="n">
        <f aca="false">G1030*H1030*(1-J1030)</f>
        <v>280.5</v>
      </c>
      <c r="L1030" s="21" t="n">
        <f aca="false">G1030*I1030</f>
        <v>186</v>
      </c>
      <c r="M1030" s="21" t="n">
        <f aca="false">K1030-L1030</f>
        <v>94.5</v>
      </c>
      <c r="N1030" s="11" t="str">
        <f aca="false">TEXT(B1030,"mmm")</f>
        <v>Sep</v>
      </c>
    </row>
    <row r="1031" customFormat="false" ht="15" hidden="false" customHeight="false" outlineLevel="0" collapsed="false">
      <c r="A1031" s="11" t="s">
        <v>1092</v>
      </c>
      <c r="B1031" s="20" t="n">
        <v>45928</v>
      </c>
      <c r="C1031" s="11" t="s">
        <v>18</v>
      </c>
      <c r="D1031" s="11" t="s">
        <v>35</v>
      </c>
      <c r="E1031" s="11" t="s">
        <v>55</v>
      </c>
      <c r="F1031" s="11" t="s">
        <v>42</v>
      </c>
      <c r="G1031" s="11" t="n">
        <v>4</v>
      </c>
      <c r="H1031" s="21" t="n">
        <v>150</v>
      </c>
      <c r="I1031" s="21" t="n">
        <v>82</v>
      </c>
      <c r="J1031" s="22" t="n">
        <v>0.1</v>
      </c>
      <c r="K1031" s="21" t="n">
        <f aca="false">G1031*H1031*(1-J1031)</f>
        <v>540</v>
      </c>
      <c r="L1031" s="21" t="n">
        <f aca="false">G1031*I1031</f>
        <v>328</v>
      </c>
      <c r="M1031" s="21" t="n">
        <f aca="false">K1031-L1031</f>
        <v>212</v>
      </c>
      <c r="N1031" s="11" t="str">
        <f aca="false">TEXT(B1031,"mmm")</f>
        <v>Sep</v>
      </c>
    </row>
    <row r="1032" customFormat="false" ht="15" hidden="false" customHeight="false" outlineLevel="0" collapsed="false">
      <c r="A1032" s="11" t="s">
        <v>1093</v>
      </c>
      <c r="B1032" s="20" t="n">
        <v>45931</v>
      </c>
      <c r="C1032" s="11" t="s">
        <v>22</v>
      </c>
      <c r="D1032" s="11" t="s">
        <v>33</v>
      </c>
      <c r="E1032" s="11" t="s">
        <v>48</v>
      </c>
      <c r="F1032" s="11" t="s">
        <v>42</v>
      </c>
      <c r="G1032" s="11" t="n">
        <v>3</v>
      </c>
      <c r="H1032" s="21" t="n">
        <v>520</v>
      </c>
      <c r="I1032" s="21" t="n">
        <v>415</v>
      </c>
      <c r="J1032" s="22" t="n">
        <v>0.1</v>
      </c>
      <c r="K1032" s="21" t="n">
        <f aca="false">G1032*H1032*(1-J1032)</f>
        <v>1404</v>
      </c>
      <c r="L1032" s="21" t="n">
        <f aca="false">G1032*I1032</f>
        <v>1245</v>
      </c>
      <c r="M1032" s="21" t="n">
        <f aca="false">K1032-L1032</f>
        <v>159</v>
      </c>
      <c r="N1032" s="11" t="str">
        <f aca="false">TEXT(B1032,"mmm")</f>
        <v>Oct</v>
      </c>
    </row>
    <row r="1033" customFormat="false" ht="15" hidden="false" customHeight="false" outlineLevel="0" collapsed="false">
      <c r="A1033" s="11" t="s">
        <v>1094</v>
      </c>
      <c r="B1033" s="20" t="n">
        <v>45931</v>
      </c>
      <c r="C1033" s="11" t="s">
        <v>20</v>
      </c>
      <c r="D1033" s="11" t="s">
        <v>37</v>
      </c>
      <c r="E1033" s="11" t="s">
        <v>49</v>
      </c>
      <c r="F1033" s="11" t="s">
        <v>42</v>
      </c>
      <c r="G1033" s="11" t="n">
        <v>16</v>
      </c>
      <c r="H1033" s="21" t="n">
        <v>28</v>
      </c>
      <c r="I1033" s="21" t="n">
        <v>17</v>
      </c>
      <c r="J1033" s="22" t="n">
        <v>0.15</v>
      </c>
      <c r="K1033" s="21" t="n">
        <f aca="false">G1033*H1033*(1-J1033)</f>
        <v>380.8</v>
      </c>
      <c r="L1033" s="21" t="n">
        <f aca="false">G1033*I1033</f>
        <v>272</v>
      </c>
      <c r="M1033" s="21" t="n">
        <f aca="false">K1033-L1033</f>
        <v>108.8</v>
      </c>
      <c r="N1033" s="11" t="str">
        <f aca="false">TEXT(B1033,"mmm")</f>
        <v>Oct</v>
      </c>
    </row>
    <row r="1034" customFormat="false" ht="15" hidden="false" customHeight="false" outlineLevel="0" collapsed="false">
      <c r="A1034" s="11" t="s">
        <v>1095</v>
      </c>
      <c r="B1034" s="20" t="n">
        <v>45931</v>
      </c>
      <c r="C1034" s="11" t="s">
        <v>24</v>
      </c>
      <c r="D1034" s="11" t="s">
        <v>33</v>
      </c>
      <c r="E1034" s="11" t="s">
        <v>51</v>
      </c>
      <c r="F1034" s="11" t="s">
        <v>42</v>
      </c>
      <c r="G1034" s="11" t="n">
        <v>5</v>
      </c>
      <c r="H1034" s="21" t="n">
        <v>90</v>
      </c>
      <c r="I1034" s="21" t="n">
        <v>58</v>
      </c>
      <c r="J1034" s="22" t="n">
        <v>0.15</v>
      </c>
      <c r="K1034" s="21" t="n">
        <f aca="false">G1034*H1034*(1-J1034)</f>
        <v>382.5</v>
      </c>
      <c r="L1034" s="21" t="n">
        <f aca="false">G1034*I1034</f>
        <v>290</v>
      </c>
      <c r="M1034" s="21" t="n">
        <f aca="false">K1034-L1034</f>
        <v>92.5</v>
      </c>
      <c r="N1034" s="11" t="str">
        <f aca="false">TEXT(B1034,"mmm")</f>
        <v>Oct</v>
      </c>
    </row>
    <row r="1035" customFormat="false" ht="15" hidden="false" customHeight="false" outlineLevel="0" collapsed="false">
      <c r="A1035" s="11" t="s">
        <v>1096</v>
      </c>
      <c r="B1035" s="20" t="n">
        <v>45931</v>
      </c>
      <c r="C1035" s="11" t="s">
        <v>18</v>
      </c>
      <c r="D1035" s="11" t="s">
        <v>33</v>
      </c>
      <c r="E1035" s="11" t="s">
        <v>50</v>
      </c>
      <c r="F1035" s="11" t="s">
        <v>44</v>
      </c>
      <c r="G1035" s="11" t="n">
        <v>3</v>
      </c>
      <c r="H1035" s="21" t="n">
        <v>780</v>
      </c>
      <c r="I1035" s="21" t="n">
        <v>600</v>
      </c>
      <c r="J1035" s="22" t="n">
        <v>0.05</v>
      </c>
      <c r="K1035" s="21" t="n">
        <f aca="false">G1035*H1035*(1-J1035)</f>
        <v>2223</v>
      </c>
      <c r="L1035" s="21" t="n">
        <f aca="false">G1035*I1035</f>
        <v>1800</v>
      </c>
      <c r="M1035" s="21" t="n">
        <f aca="false">K1035-L1035</f>
        <v>423</v>
      </c>
      <c r="N1035" s="11" t="str">
        <f aca="false">TEXT(B1035,"mmm")</f>
        <v>Oct</v>
      </c>
    </row>
    <row r="1036" customFormat="false" ht="15" hidden="false" customHeight="false" outlineLevel="0" collapsed="false">
      <c r="A1036" s="11" t="s">
        <v>1097</v>
      </c>
      <c r="B1036" s="20" t="n">
        <v>45931</v>
      </c>
      <c r="C1036" s="11" t="s">
        <v>24</v>
      </c>
      <c r="D1036" s="11" t="s">
        <v>35</v>
      </c>
      <c r="E1036" s="11" t="s">
        <v>56</v>
      </c>
      <c r="F1036" s="11" t="s">
        <v>44</v>
      </c>
      <c r="G1036" s="11" t="n">
        <v>3</v>
      </c>
      <c r="H1036" s="21" t="n">
        <v>110</v>
      </c>
      <c r="I1036" s="21" t="n">
        <v>62</v>
      </c>
      <c r="J1036" s="22" t="n">
        <v>0.1</v>
      </c>
      <c r="K1036" s="21" t="n">
        <f aca="false">G1036*H1036*(1-J1036)</f>
        <v>297</v>
      </c>
      <c r="L1036" s="21" t="n">
        <f aca="false">G1036*I1036</f>
        <v>186</v>
      </c>
      <c r="M1036" s="21" t="n">
        <f aca="false">K1036-L1036</f>
        <v>111</v>
      </c>
      <c r="N1036" s="11" t="str">
        <f aca="false">TEXT(B1036,"mmm")</f>
        <v>Oct</v>
      </c>
    </row>
    <row r="1037" customFormat="false" ht="15" hidden="false" customHeight="false" outlineLevel="0" collapsed="false">
      <c r="A1037" s="11" t="s">
        <v>1098</v>
      </c>
      <c r="B1037" s="20" t="n">
        <v>45932</v>
      </c>
      <c r="C1037" s="11" t="s">
        <v>22</v>
      </c>
      <c r="D1037" s="11" t="s">
        <v>37</v>
      </c>
      <c r="E1037" s="11" t="s">
        <v>49</v>
      </c>
      <c r="F1037" s="11" t="s">
        <v>42</v>
      </c>
      <c r="G1037" s="11" t="n">
        <v>32</v>
      </c>
      <c r="H1037" s="21" t="n">
        <v>28</v>
      </c>
      <c r="I1037" s="21" t="n">
        <v>17</v>
      </c>
      <c r="J1037" s="22" t="n">
        <v>0.1</v>
      </c>
      <c r="K1037" s="21" t="n">
        <f aca="false">G1037*H1037*(1-J1037)</f>
        <v>806.4</v>
      </c>
      <c r="L1037" s="21" t="n">
        <f aca="false">G1037*I1037</f>
        <v>544</v>
      </c>
      <c r="M1037" s="21" t="n">
        <f aca="false">K1037-L1037</f>
        <v>262.4</v>
      </c>
      <c r="N1037" s="11" t="str">
        <f aca="false">TEXT(B1037,"mmm")</f>
        <v>Oct</v>
      </c>
    </row>
    <row r="1038" customFormat="false" ht="15" hidden="false" customHeight="false" outlineLevel="0" collapsed="false">
      <c r="A1038" s="11" t="s">
        <v>1099</v>
      </c>
      <c r="B1038" s="20" t="n">
        <v>45932</v>
      </c>
      <c r="C1038" s="11" t="s">
        <v>24</v>
      </c>
      <c r="D1038" s="11" t="s">
        <v>33</v>
      </c>
      <c r="E1038" s="11" t="s">
        <v>48</v>
      </c>
      <c r="F1038" s="11" t="s">
        <v>45</v>
      </c>
      <c r="G1038" s="11" t="n">
        <v>4</v>
      </c>
      <c r="H1038" s="21" t="n">
        <v>520</v>
      </c>
      <c r="I1038" s="21" t="n">
        <v>415</v>
      </c>
      <c r="J1038" s="22" t="n">
        <v>0.2</v>
      </c>
      <c r="K1038" s="21" t="n">
        <f aca="false">G1038*H1038*(1-J1038)</f>
        <v>1664</v>
      </c>
      <c r="L1038" s="21" t="n">
        <f aca="false">G1038*I1038</f>
        <v>1660</v>
      </c>
      <c r="M1038" s="21" t="n">
        <f aca="false">K1038-L1038</f>
        <v>4</v>
      </c>
      <c r="N1038" s="11" t="str">
        <f aca="false">TEXT(B1038,"mmm")</f>
        <v>Oct</v>
      </c>
    </row>
    <row r="1039" customFormat="false" ht="15" hidden="false" customHeight="false" outlineLevel="0" collapsed="false">
      <c r="A1039" s="11" t="s">
        <v>1100</v>
      </c>
      <c r="B1039" s="20" t="n">
        <v>45932</v>
      </c>
      <c r="C1039" s="11" t="s">
        <v>18</v>
      </c>
      <c r="D1039" s="11" t="s">
        <v>37</v>
      </c>
      <c r="E1039" s="11" t="s">
        <v>52</v>
      </c>
      <c r="F1039" s="11" t="s">
        <v>42</v>
      </c>
      <c r="G1039" s="11" t="n">
        <v>36</v>
      </c>
      <c r="H1039" s="21" t="n">
        <v>12</v>
      </c>
      <c r="I1039" s="21" t="n">
        <v>6</v>
      </c>
      <c r="J1039" s="22" t="n">
        <v>0</v>
      </c>
      <c r="K1039" s="21" t="n">
        <f aca="false">G1039*H1039*(1-J1039)</f>
        <v>432</v>
      </c>
      <c r="L1039" s="21" t="n">
        <f aca="false">G1039*I1039</f>
        <v>216</v>
      </c>
      <c r="M1039" s="21" t="n">
        <f aca="false">K1039-L1039</f>
        <v>216</v>
      </c>
      <c r="N1039" s="11" t="str">
        <f aca="false">TEXT(B1039,"mmm")</f>
        <v>Oct</v>
      </c>
    </row>
    <row r="1040" customFormat="false" ht="15" hidden="false" customHeight="false" outlineLevel="0" collapsed="false">
      <c r="A1040" s="11" t="s">
        <v>1101</v>
      </c>
      <c r="B1040" s="20" t="n">
        <v>45932</v>
      </c>
      <c r="C1040" s="11" t="s">
        <v>18</v>
      </c>
      <c r="D1040" s="11" t="s">
        <v>33</v>
      </c>
      <c r="E1040" s="11" t="s">
        <v>50</v>
      </c>
      <c r="F1040" s="11" t="s">
        <v>45</v>
      </c>
      <c r="G1040" s="11" t="n">
        <v>1</v>
      </c>
      <c r="H1040" s="21" t="n">
        <v>780</v>
      </c>
      <c r="I1040" s="21" t="n">
        <v>600</v>
      </c>
      <c r="J1040" s="22" t="n">
        <v>0.2</v>
      </c>
      <c r="K1040" s="21" t="n">
        <f aca="false">G1040*H1040*(1-J1040)</f>
        <v>624</v>
      </c>
      <c r="L1040" s="21" t="n">
        <f aca="false">G1040*I1040</f>
        <v>600</v>
      </c>
      <c r="M1040" s="21" t="n">
        <f aca="false">K1040-L1040</f>
        <v>24</v>
      </c>
      <c r="N1040" s="11" t="str">
        <f aca="false">TEXT(B1040,"mmm")</f>
        <v>Oct</v>
      </c>
    </row>
    <row r="1041" customFormat="false" ht="15" hidden="false" customHeight="false" outlineLevel="0" collapsed="false">
      <c r="A1041" s="11" t="s">
        <v>1102</v>
      </c>
      <c r="B1041" s="20" t="n">
        <v>45933</v>
      </c>
      <c r="C1041" s="11" t="s">
        <v>22</v>
      </c>
      <c r="D1041" s="11" t="s">
        <v>33</v>
      </c>
      <c r="E1041" s="11" t="s">
        <v>51</v>
      </c>
      <c r="F1041" s="11" t="s">
        <v>45</v>
      </c>
      <c r="G1041" s="11" t="n">
        <v>18</v>
      </c>
      <c r="H1041" s="21" t="n">
        <v>90</v>
      </c>
      <c r="I1041" s="21" t="n">
        <v>58</v>
      </c>
      <c r="J1041" s="22" t="n">
        <v>0.2</v>
      </c>
      <c r="K1041" s="21" t="n">
        <f aca="false">G1041*H1041*(1-J1041)</f>
        <v>1296</v>
      </c>
      <c r="L1041" s="21" t="n">
        <f aca="false">G1041*I1041</f>
        <v>1044</v>
      </c>
      <c r="M1041" s="21" t="n">
        <f aca="false">K1041-L1041</f>
        <v>252</v>
      </c>
      <c r="N1041" s="11" t="str">
        <f aca="false">TEXT(B1041,"mmm")</f>
        <v>Oct</v>
      </c>
    </row>
    <row r="1042" customFormat="false" ht="15" hidden="false" customHeight="false" outlineLevel="0" collapsed="false">
      <c r="A1042" s="11" t="s">
        <v>1103</v>
      </c>
      <c r="B1042" s="20" t="n">
        <v>45933</v>
      </c>
      <c r="C1042" s="11" t="s">
        <v>18</v>
      </c>
      <c r="D1042" s="11" t="s">
        <v>37</v>
      </c>
      <c r="E1042" s="11" t="s">
        <v>52</v>
      </c>
      <c r="F1042" s="11" t="s">
        <v>42</v>
      </c>
      <c r="G1042" s="11" t="n">
        <v>10</v>
      </c>
      <c r="H1042" s="21" t="n">
        <v>12</v>
      </c>
      <c r="I1042" s="21" t="n">
        <v>6</v>
      </c>
      <c r="J1042" s="22" t="n">
        <v>0.1</v>
      </c>
      <c r="K1042" s="21" t="n">
        <f aca="false">G1042*H1042*(1-J1042)</f>
        <v>108</v>
      </c>
      <c r="L1042" s="21" t="n">
        <f aca="false">G1042*I1042</f>
        <v>60</v>
      </c>
      <c r="M1042" s="21" t="n">
        <f aca="false">K1042-L1042</f>
        <v>48</v>
      </c>
      <c r="N1042" s="11" t="str">
        <f aca="false">TEXT(B1042,"mmm")</f>
        <v>Oct</v>
      </c>
    </row>
    <row r="1043" customFormat="false" ht="15" hidden="false" customHeight="false" outlineLevel="0" collapsed="false">
      <c r="A1043" s="11" t="s">
        <v>1104</v>
      </c>
      <c r="B1043" s="20" t="n">
        <v>45933</v>
      </c>
      <c r="C1043" s="11" t="s">
        <v>20</v>
      </c>
      <c r="D1043" s="11" t="s">
        <v>37</v>
      </c>
      <c r="E1043" s="11" t="s">
        <v>49</v>
      </c>
      <c r="F1043" s="11" t="s">
        <v>42</v>
      </c>
      <c r="G1043" s="11" t="n">
        <v>29</v>
      </c>
      <c r="H1043" s="21" t="n">
        <v>28</v>
      </c>
      <c r="I1043" s="21" t="n">
        <v>17</v>
      </c>
      <c r="J1043" s="22" t="n">
        <v>0.05</v>
      </c>
      <c r="K1043" s="21" t="n">
        <f aca="false">G1043*H1043*(1-J1043)</f>
        <v>771.4</v>
      </c>
      <c r="L1043" s="21" t="n">
        <f aca="false">G1043*I1043</f>
        <v>493</v>
      </c>
      <c r="M1043" s="21" t="n">
        <f aca="false">K1043-L1043</f>
        <v>278.4</v>
      </c>
      <c r="N1043" s="11" t="str">
        <f aca="false">TEXT(B1043,"mmm")</f>
        <v>Oct</v>
      </c>
    </row>
    <row r="1044" customFormat="false" ht="15" hidden="false" customHeight="false" outlineLevel="0" collapsed="false">
      <c r="A1044" s="11" t="s">
        <v>1105</v>
      </c>
      <c r="B1044" s="20" t="n">
        <v>45933</v>
      </c>
      <c r="C1044" s="11" t="s">
        <v>20</v>
      </c>
      <c r="D1044" s="11" t="s">
        <v>33</v>
      </c>
      <c r="E1044" s="11" t="s">
        <v>51</v>
      </c>
      <c r="F1044" s="11" t="s">
        <v>44</v>
      </c>
      <c r="G1044" s="11" t="n">
        <v>6</v>
      </c>
      <c r="H1044" s="21" t="n">
        <v>90</v>
      </c>
      <c r="I1044" s="21" t="n">
        <v>58</v>
      </c>
      <c r="J1044" s="22" t="n">
        <v>0</v>
      </c>
      <c r="K1044" s="21" t="n">
        <f aca="false">G1044*H1044*(1-J1044)</f>
        <v>540</v>
      </c>
      <c r="L1044" s="21" t="n">
        <f aca="false">G1044*I1044</f>
        <v>348</v>
      </c>
      <c r="M1044" s="21" t="n">
        <f aca="false">K1044-L1044</f>
        <v>192</v>
      </c>
      <c r="N1044" s="11" t="str">
        <f aca="false">TEXT(B1044,"mmm")</f>
        <v>Oct</v>
      </c>
    </row>
    <row r="1045" customFormat="false" ht="15" hidden="false" customHeight="false" outlineLevel="0" collapsed="false">
      <c r="A1045" s="11" t="s">
        <v>1106</v>
      </c>
      <c r="B1045" s="20" t="n">
        <v>45933</v>
      </c>
      <c r="C1045" s="11" t="s">
        <v>24</v>
      </c>
      <c r="D1045" s="11" t="s">
        <v>35</v>
      </c>
      <c r="E1045" s="11" t="s">
        <v>56</v>
      </c>
      <c r="F1045" s="11" t="s">
        <v>42</v>
      </c>
      <c r="G1045" s="11" t="n">
        <v>1</v>
      </c>
      <c r="H1045" s="21" t="n">
        <v>110</v>
      </c>
      <c r="I1045" s="21" t="n">
        <v>62</v>
      </c>
      <c r="J1045" s="22" t="n">
        <v>0.15</v>
      </c>
      <c r="K1045" s="21" t="n">
        <f aca="false">G1045*H1045*(1-J1045)</f>
        <v>93.5</v>
      </c>
      <c r="L1045" s="21" t="n">
        <f aca="false">G1045*I1045</f>
        <v>62</v>
      </c>
      <c r="M1045" s="21" t="n">
        <f aca="false">K1045-L1045</f>
        <v>31.5</v>
      </c>
      <c r="N1045" s="11" t="str">
        <f aca="false">TEXT(B1045,"mmm")</f>
        <v>Oct</v>
      </c>
    </row>
    <row r="1046" customFormat="false" ht="15" hidden="false" customHeight="false" outlineLevel="0" collapsed="false">
      <c r="A1046" s="11" t="s">
        <v>1107</v>
      </c>
      <c r="B1046" s="20" t="n">
        <v>45934</v>
      </c>
      <c r="C1046" s="11" t="s">
        <v>20</v>
      </c>
      <c r="D1046" s="11" t="s">
        <v>37</v>
      </c>
      <c r="E1046" s="11" t="s">
        <v>49</v>
      </c>
      <c r="F1046" s="11" t="s">
        <v>42</v>
      </c>
      <c r="G1046" s="11" t="n">
        <v>9</v>
      </c>
      <c r="H1046" s="21" t="n">
        <v>28</v>
      </c>
      <c r="I1046" s="21" t="n">
        <v>17</v>
      </c>
      <c r="J1046" s="22" t="n">
        <v>0</v>
      </c>
      <c r="K1046" s="21" t="n">
        <f aca="false">G1046*H1046*(1-J1046)</f>
        <v>252</v>
      </c>
      <c r="L1046" s="21" t="n">
        <f aca="false">G1046*I1046</f>
        <v>153</v>
      </c>
      <c r="M1046" s="21" t="n">
        <f aca="false">K1046-L1046</f>
        <v>99</v>
      </c>
      <c r="N1046" s="11" t="str">
        <f aca="false">TEXT(B1046,"mmm")</f>
        <v>Oct</v>
      </c>
    </row>
    <row r="1047" customFormat="false" ht="15" hidden="false" customHeight="false" outlineLevel="0" collapsed="false">
      <c r="A1047" s="11" t="s">
        <v>1108</v>
      </c>
      <c r="B1047" s="20" t="n">
        <v>45934</v>
      </c>
      <c r="C1047" s="11" t="s">
        <v>18</v>
      </c>
      <c r="D1047" s="11" t="s">
        <v>37</v>
      </c>
      <c r="E1047" s="11" t="s">
        <v>49</v>
      </c>
      <c r="F1047" s="11" t="s">
        <v>42</v>
      </c>
      <c r="G1047" s="11" t="n">
        <v>7</v>
      </c>
      <c r="H1047" s="21" t="n">
        <v>28</v>
      </c>
      <c r="I1047" s="21" t="n">
        <v>17</v>
      </c>
      <c r="J1047" s="22" t="n">
        <v>0.1</v>
      </c>
      <c r="K1047" s="21" t="n">
        <f aca="false">G1047*H1047*(1-J1047)</f>
        <v>176.4</v>
      </c>
      <c r="L1047" s="21" t="n">
        <f aca="false">G1047*I1047</f>
        <v>119</v>
      </c>
      <c r="M1047" s="21" t="n">
        <f aca="false">K1047-L1047</f>
        <v>57.4</v>
      </c>
      <c r="N1047" s="11" t="str">
        <f aca="false">TEXT(B1047,"mmm")</f>
        <v>Oct</v>
      </c>
    </row>
    <row r="1048" customFormat="false" ht="15" hidden="false" customHeight="false" outlineLevel="0" collapsed="false">
      <c r="A1048" s="11" t="s">
        <v>1109</v>
      </c>
      <c r="B1048" s="20" t="n">
        <v>45934</v>
      </c>
      <c r="C1048" s="11" t="s">
        <v>20</v>
      </c>
      <c r="D1048" s="11" t="s">
        <v>37</v>
      </c>
      <c r="E1048" s="11" t="s">
        <v>53</v>
      </c>
      <c r="F1048" s="11" t="s">
        <v>45</v>
      </c>
      <c r="G1048" s="11" t="n">
        <v>102</v>
      </c>
      <c r="H1048" s="21" t="n">
        <v>9</v>
      </c>
      <c r="I1048" s="21" t="n">
        <v>4.5</v>
      </c>
      <c r="J1048" s="22" t="n">
        <v>0.1</v>
      </c>
      <c r="K1048" s="21" t="n">
        <f aca="false">G1048*H1048*(1-J1048)</f>
        <v>826.2</v>
      </c>
      <c r="L1048" s="21" t="n">
        <f aca="false">G1048*I1048</f>
        <v>459</v>
      </c>
      <c r="M1048" s="21" t="n">
        <f aca="false">K1048-L1048</f>
        <v>367.2</v>
      </c>
      <c r="N1048" s="11" t="str">
        <f aca="false">TEXT(B1048,"mmm")</f>
        <v>Oct</v>
      </c>
    </row>
    <row r="1049" customFormat="false" ht="15" hidden="false" customHeight="false" outlineLevel="0" collapsed="false">
      <c r="A1049" s="11" t="s">
        <v>1110</v>
      </c>
      <c r="B1049" s="20" t="n">
        <v>45934</v>
      </c>
      <c r="C1049" s="11" t="s">
        <v>18</v>
      </c>
      <c r="D1049" s="11" t="s">
        <v>33</v>
      </c>
      <c r="E1049" s="11" t="s">
        <v>50</v>
      </c>
      <c r="F1049" s="11" t="s">
        <v>42</v>
      </c>
      <c r="G1049" s="11" t="n">
        <v>3</v>
      </c>
      <c r="H1049" s="21" t="n">
        <v>780</v>
      </c>
      <c r="I1049" s="21" t="n">
        <v>600</v>
      </c>
      <c r="J1049" s="22" t="n">
        <v>0.1</v>
      </c>
      <c r="K1049" s="21" t="n">
        <f aca="false">G1049*H1049*(1-J1049)</f>
        <v>2106</v>
      </c>
      <c r="L1049" s="21" t="n">
        <f aca="false">G1049*I1049</f>
        <v>1800</v>
      </c>
      <c r="M1049" s="21" t="n">
        <f aca="false">K1049-L1049</f>
        <v>306</v>
      </c>
      <c r="N1049" s="11" t="str">
        <f aca="false">TEXT(B1049,"mmm")</f>
        <v>Oct</v>
      </c>
    </row>
    <row r="1050" customFormat="false" ht="15" hidden="false" customHeight="false" outlineLevel="0" collapsed="false">
      <c r="A1050" s="11" t="s">
        <v>1111</v>
      </c>
      <c r="B1050" s="20" t="n">
        <v>45935</v>
      </c>
      <c r="C1050" s="11" t="s">
        <v>24</v>
      </c>
      <c r="D1050" s="11" t="s">
        <v>37</v>
      </c>
      <c r="E1050" s="11" t="s">
        <v>53</v>
      </c>
      <c r="F1050" s="11" t="s">
        <v>44</v>
      </c>
      <c r="G1050" s="11" t="n">
        <v>40</v>
      </c>
      <c r="H1050" s="21" t="n">
        <v>9</v>
      </c>
      <c r="I1050" s="21" t="n">
        <v>4.5</v>
      </c>
      <c r="J1050" s="22" t="n">
        <v>0</v>
      </c>
      <c r="K1050" s="21" t="n">
        <f aca="false">G1050*H1050*(1-J1050)</f>
        <v>360</v>
      </c>
      <c r="L1050" s="21" t="n">
        <f aca="false">G1050*I1050</f>
        <v>180</v>
      </c>
      <c r="M1050" s="21" t="n">
        <f aca="false">K1050-L1050</f>
        <v>180</v>
      </c>
      <c r="N1050" s="11" t="str">
        <f aca="false">TEXT(B1050,"mmm")</f>
        <v>Oct</v>
      </c>
    </row>
    <row r="1051" customFormat="false" ht="15" hidden="false" customHeight="false" outlineLevel="0" collapsed="false">
      <c r="A1051" s="11" t="s">
        <v>1112</v>
      </c>
      <c r="B1051" s="20" t="n">
        <v>45935</v>
      </c>
      <c r="C1051" s="11" t="s">
        <v>18</v>
      </c>
      <c r="D1051" s="11" t="s">
        <v>37</v>
      </c>
      <c r="E1051" s="11" t="s">
        <v>52</v>
      </c>
      <c r="F1051" s="11" t="s">
        <v>42</v>
      </c>
      <c r="G1051" s="11" t="n">
        <v>37</v>
      </c>
      <c r="H1051" s="21" t="n">
        <v>12</v>
      </c>
      <c r="I1051" s="21" t="n">
        <v>6</v>
      </c>
      <c r="J1051" s="22" t="n">
        <v>0.05</v>
      </c>
      <c r="K1051" s="21" t="n">
        <f aca="false">G1051*H1051*(1-J1051)</f>
        <v>421.8</v>
      </c>
      <c r="L1051" s="21" t="n">
        <f aca="false">G1051*I1051</f>
        <v>222</v>
      </c>
      <c r="M1051" s="21" t="n">
        <f aca="false">K1051-L1051</f>
        <v>199.8</v>
      </c>
      <c r="N1051" s="11" t="str">
        <f aca="false">TEXT(B1051,"mmm")</f>
        <v>Oct</v>
      </c>
    </row>
    <row r="1052" customFormat="false" ht="15" hidden="false" customHeight="false" outlineLevel="0" collapsed="false">
      <c r="A1052" s="11" t="s">
        <v>1113</v>
      </c>
      <c r="B1052" s="20" t="n">
        <v>45935</v>
      </c>
      <c r="C1052" s="11" t="s">
        <v>20</v>
      </c>
      <c r="D1052" s="11" t="s">
        <v>37</v>
      </c>
      <c r="E1052" s="11" t="s">
        <v>53</v>
      </c>
      <c r="F1052" s="11" t="s">
        <v>42</v>
      </c>
      <c r="G1052" s="11" t="n">
        <v>10</v>
      </c>
      <c r="H1052" s="21" t="n">
        <v>9</v>
      </c>
      <c r="I1052" s="21" t="n">
        <v>4.5</v>
      </c>
      <c r="J1052" s="22" t="n">
        <v>0.1</v>
      </c>
      <c r="K1052" s="21" t="n">
        <f aca="false">G1052*H1052*(1-J1052)</f>
        <v>81</v>
      </c>
      <c r="L1052" s="21" t="n">
        <f aca="false">G1052*I1052</f>
        <v>45</v>
      </c>
      <c r="M1052" s="21" t="n">
        <f aca="false">K1052-L1052</f>
        <v>36</v>
      </c>
      <c r="N1052" s="11" t="str">
        <f aca="false">TEXT(B1052,"mmm")</f>
        <v>Oct</v>
      </c>
    </row>
    <row r="1053" customFormat="false" ht="15" hidden="false" customHeight="false" outlineLevel="0" collapsed="false">
      <c r="A1053" s="11" t="s">
        <v>1114</v>
      </c>
      <c r="B1053" s="20" t="n">
        <v>45935</v>
      </c>
      <c r="C1053" s="11" t="s">
        <v>20</v>
      </c>
      <c r="D1053" s="11" t="s">
        <v>37</v>
      </c>
      <c r="E1053" s="11" t="s">
        <v>53</v>
      </c>
      <c r="F1053" s="11" t="s">
        <v>42</v>
      </c>
      <c r="G1053" s="11" t="n">
        <v>24</v>
      </c>
      <c r="H1053" s="21" t="n">
        <v>9</v>
      </c>
      <c r="I1053" s="21" t="n">
        <v>4.5</v>
      </c>
      <c r="J1053" s="22" t="n">
        <v>0</v>
      </c>
      <c r="K1053" s="21" t="n">
        <f aca="false">G1053*H1053*(1-J1053)</f>
        <v>216</v>
      </c>
      <c r="L1053" s="21" t="n">
        <f aca="false">G1053*I1053</f>
        <v>108</v>
      </c>
      <c r="M1053" s="21" t="n">
        <f aca="false">K1053-L1053</f>
        <v>108</v>
      </c>
      <c r="N1053" s="11" t="str">
        <f aca="false">TEXT(B1053,"mmm")</f>
        <v>Oct</v>
      </c>
    </row>
    <row r="1054" customFormat="false" ht="15" hidden="false" customHeight="false" outlineLevel="0" collapsed="false">
      <c r="A1054" s="11" t="s">
        <v>1115</v>
      </c>
      <c r="B1054" s="20" t="n">
        <v>45935</v>
      </c>
      <c r="C1054" s="11" t="s">
        <v>20</v>
      </c>
      <c r="D1054" s="11" t="s">
        <v>37</v>
      </c>
      <c r="E1054" s="11" t="s">
        <v>52</v>
      </c>
      <c r="F1054" s="11" t="s">
        <v>44</v>
      </c>
      <c r="G1054" s="11" t="n">
        <v>17</v>
      </c>
      <c r="H1054" s="21" t="n">
        <v>12</v>
      </c>
      <c r="I1054" s="21" t="n">
        <v>6</v>
      </c>
      <c r="J1054" s="22" t="n">
        <v>0.1</v>
      </c>
      <c r="K1054" s="21" t="n">
        <f aca="false">G1054*H1054*(1-J1054)</f>
        <v>183.6</v>
      </c>
      <c r="L1054" s="21" t="n">
        <f aca="false">G1054*I1054</f>
        <v>102</v>
      </c>
      <c r="M1054" s="21" t="n">
        <f aca="false">K1054-L1054</f>
        <v>81.6</v>
      </c>
      <c r="N1054" s="11" t="str">
        <f aca="false">TEXT(B1054,"mmm")</f>
        <v>Oct</v>
      </c>
    </row>
    <row r="1055" customFormat="false" ht="15" hidden="false" customHeight="false" outlineLevel="0" collapsed="false">
      <c r="A1055" s="11" t="s">
        <v>1116</v>
      </c>
      <c r="B1055" s="20" t="n">
        <v>45935</v>
      </c>
      <c r="C1055" s="11" t="s">
        <v>18</v>
      </c>
      <c r="D1055" s="11" t="s">
        <v>37</v>
      </c>
      <c r="E1055" s="11" t="s">
        <v>53</v>
      </c>
      <c r="F1055" s="11" t="s">
        <v>44</v>
      </c>
      <c r="G1055" s="11" t="n">
        <v>23</v>
      </c>
      <c r="H1055" s="21" t="n">
        <v>9</v>
      </c>
      <c r="I1055" s="21" t="n">
        <v>4.5</v>
      </c>
      <c r="J1055" s="22" t="n">
        <v>0.05</v>
      </c>
      <c r="K1055" s="21" t="n">
        <f aca="false">G1055*H1055*(1-J1055)</f>
        <v>196.65</v>
      </c>
      <c r="L1055" s="21" t="n">
        <f aca="false">G1055*I1055</f>
        <v>103.5</v>
      </c>
      <c r="M1055" s="21" t="n">
        <f aca="false">K1055-L1055</f>
        <v>93.15</v>
      </c>
      <c r="N1055" s="11" t="str">
        <f aca="false">TEXT(B1055,"mmm")</f>
        <v>Oct</v>
      </c>
    </row>
    <row r="1056" customFormat="false" ht="15" hidden="false" customHeight="false" outlineLevel="0" collapsed="false">
      <c r="A1056" s="11" t="s">
        <v>1117</v>
      </c>
      <c r="B1056" s="20" t="n">
        <v>45936</v>
      </c>
      <c r="C1056" s="11" t="s">
        <v>18</v>
      </c>
      <c r="D1056" s="11" t="s">
        <v>33</v>
      </c>
      <c r="E1056" s="11" t="s">
        <v>51</v>
      </c>
      <c r="F1056" s="11" t="s">
        <v>44</v>
      </c>
      <c r="G1056" s="11" t="n">
        <v>5</v>
      </c>
      <c r="H1056" s="21" t="n">
        <v>90</v>
      </c>
      <c r="I1056" s="21" t="n">
        <v>58</v>
      </c>
      <c r="J1056" s="22" t="n">
        <v>0.1</v>
      </c>
      <c r="K1056" s="21" t="n">
        <f aca="false">G1056*H1056*(1-J1056)</f>
        <v>405</v>
      </c>
      <c r="L1056" s="21" t="n">
        <f aca="false">G1056*I1056</f>
        <v>290</v>
      </c>
      <c r="M1056" s="21" t="n">
        <f aca="false">K1056-L1056</f>
        <v>115</v>
      </c>
      <c r="N1056" s="11" t="str">
        <f aca="false">TEXT(B1056,"mmm")</f>
        <v>Oct</v>
      </c>
    </row>
    <row r="1057" customFormat="false" ht="15" hidden="false" customHeight="false" outlineLevel="0" collapsed="false">
      <c r="A1057" s="11" t="s">
        <v>1118</v>
      </c>
      <c r="B1057" s="20" t="n">
        <v>45936</v>
      </c>
      <c r="C1057" s="11" t="s">
        <v>24</v>
      </c>
      <c r="D1057" s="11" t="s">
        <v>37</v>
      </c>
      <c r="E1057" s="11" t="s">
        <v>49</v>
      </c>
      <c r="F1057" s="11" t="s">
        <v>42</v>
      </c>
      <c r="G1057" s="11" t="n">
        <v>29</v>
      </c>
      <c r="H1057" s="21" t="n">
        <v>28</v>
      </c>
      <c r="I1057" s="21" t="n">
        <v>17</v>
      </c>
      <c r="J1057" s="22" t="n">
        <v>0</v>
      </c>
      <c r="K1057" s="21" t="n">
        <f aca="false">G1057*H1057*(1-J1057)</f>
        <v>812</v>
      </c>
      <c r="L1057" s="21" t="n">
        <f aca="false">G1057*I1057</f>
        <v>493</v>
      </c>
      <c r="M1057" s="21" t="n">
        <f aca="false">K1057-L1057</f>
        <v>319</v>
      </c>
      <c r="N1057" s="11" t="str">
        <f aca="false">TEXT(B1057,"mmm")</f>
        <v>Oct</v>
      </c>
    </row>
    <row r="1058" customFormat="false" ht="15" hidden="false" customHeight="false" outlineLevel="0" collapsed="false">
      <c r="A1058" s="11" t="s">
        <v>1119</v>
      </c>
      <c r="B1058" s="20" t="n">
        <v>45936</v>
      </c>
      <c r="C1058" s="11" t="s">
        <v>18</v>
      </c>
      <c r="D1058" s="11" t="s">
        <v>35</v>
      </c>
      <c r="E1058" s="11" t="s">
        <v>56</v>
      </c>
      <c r="F1058" s="11" t="s">
        <v>42</v>
      </c>
      <c r="G1058" s="11" t="n">
        <v>1</v>
      </c>
      <c r="H1058" s="21" t="n">
        <v>110</v>
      </c>
      <c r="I1058" s="21" t="n">
        <v>62</v>
      </c>
      <c r="J1058" s="22" t="n">
        <v>0</v>
      </c>
      <c r="K1058" s="21" t="n">
        <f aca="false">G1058*H1058*(1-J1058)</f>
        <v>110</v>
      </c>
      <c r="L1058" s="21" t="n">
        <f aca="false">G1058*I1058</f>
        <v>62</v>
      </c>
      <c r="M1058" s="21" t="n">
        <f aca="false">K1058-L1058</f>
        <v>48</v>
      </c>
      <c r="N1058" s="11" t="str">
        <f aca="false">TEXT(B1058,"mmm")</f>
        <v>Oct</v>
      </c>
    </row>
    <row r="1059" customFormat="false" ht="15" hidden="false" customHeight="false" outlineLevel="0" collapsed="false">
      <c r="A1059" s="11" t="s">
        <v>1120</v>
      </c>
      <c r="B1059" s="20" t="n">
        <v>45936</v>
      </c>
      <c r="C1059" s="11" t="s">
        <v>20</v>
      </c>
      <c r="D1059" s="11" t="s">
        <v>35</v>
      </c>
      <c r="E1059" s="11" t="s">
        <v>56</v>
      </c>
      <c r="F1059" s="11" t="s">
        <v>42</v>
      </c>
      <c r="G1059" s="11" t="n">
        <v>3</v>
      </c>
      <c r="H1059" s="21" t="n">
        <v>110</v>
      </c>
      <c r="I1059" s="21" t="n">
        <v>62</v>
      </c>
      <c r="J1059" s="22" t="n">
        <v>0</v>
      </c>
      <c r="K1059" s="21" t="n">
        <f aca="false">G1059*H1059*(1-J1059)</f>
        <v>330</v>
      </c>
      <c r="L1059" s="21" t="n">
        <f aca="false">G1059*I1059</f>
        <v>186</v>
      </c>
      <c r="M1059" s="21" t="n">
        <f aca="false">K1059-L1059</f>
        <v>144</v>
      </c>
      <c r="N1059" s="11" t="str">
        <f aca="false">TEXT(B1059,"mmm")</f>
        <v>Oct</v>
      </c>
    </row>
    <row r="1060" customFormat="false" ht="15" hidden="false" customHeight="false" outlineLevel="0" collapsed="false">
      <c r="A1060" s="11" t="s">
        <v>1121</v>
      </c>
      <c r="B1060" s="20" t="n">
        <v>45936</v>
      </c>
      <c r="C1060" s="11" t="s">
        <v>24</v>
      </c>
      <c r="D1060" s="11" t="s">
        <v>33</v>
      </c>
      <c r="E1060" s="11" t="s">
        <v>51</v>
      </c>
      <c r="F1060" s="11" t="s">
        <v>42</v>
      </c>
      <c r="G1060" s="11" t="n">
        <v>2</v>
      </c>
      <c r="H1060" s="21" t="n">
        <v>90</v>
      </c>
      <c r="I1060" s="21" t="n">
        <v>58</v>
      </c>
      <c r="J1060" s="22" t="n">
        <v>0</v>
      </c>
      <c r="K1060" s="21" t="n">
        <f aca="false">G1060*H1060*(1-J1060)</f>
        <v>180</v>
      </c>
      <c r="L1060" s="21" t="n">
        <f aca="false">G1060*I1060</f>
        <v>116</v>
      </c>
      <c r="M1060" s="21" t="n">
        <f aca="false">K1060-L1060</f>
        <v>64</v>
      </c>
      <c r="N1060" s="11" t="str">
        <f aca="false">TEXT(B1060,"mmm")</f>
        <v>Oct</v>
      </c>
    </row>
    <row r="1061" customFormat="false" ht="15" hidden="false" customHeight="false" outlineLevel="0" collapsed="false">
      <c r="A1061" s="11" t="s">
        <v>1122</v>
      </c>
      <c r="B1061" s="20" t="n">
        <v>45936</v>
      </c>
      <c r="C1061" s="11" t="s">
        <v>22</v>
      </c>
      <c r="D1061" s="11" t="s">
        <v>37</v>
      </c>
      <c r="E1061" s="11" t="s">
        <v>49</v>
      </c>
      <c r="F1061" s="11" t="s">
        <v>44</v>
      </c>
      <c r="G1061" s="11" t="n">
        <v>9</v>
      </c>
      <c r="H1061" s="21" t="n">
        <v>28</v>
      </c>
      <c r="I1061" s="21" t="n">
        <v>17</v>
      </c>
      <c r="J1061" s="22" t="n">
        <v>0</v>
      </c>
      <c r="K1061" s="21" t="n">
        <f aca="false">G1061*H1061*(1-J1061)</f>
        <v>252</v>
      </c>
      <c r="L1061" s="21" t="n">
        <f aca="false">G1061*I1061</f>
        <v>153</v>
      </c>
      <c r="M1061" s="21" t="n">
        <f aca="false">K1061-L1061</f>
        <v>99</v>
      </c>
      <c r="N1061" s="11" t="str">
        <f aca="false">TEXT(B1061,"mmm")</f>
        <v>Oct</v>
      </c>
    </row>
    <row r="1062" customFormat="false" ht="15" hidden="false" customHeight="false" outlineLevel="0" collapsed="false">
      <c r="A1062" s="11" t="s">
        <v>1123</v>
      </c>
      <c r="B1062" s="20" t="n">
        <v>45936</v>
      </c>
      <c r="C1062" s="11" t="s">
        <v>18</v>
      </c>
      <c r="D1062" s="11" t="s">
        <v>37</v>
      </c>
      <c r="E1062" s="11" t="s">
        <v>52</v>
      </c>
      <c r="F1062" s="11" t="s">
        <v>44</v>
      </c>
      <c r="G1062" s="11" t="n">
        <v>36</v>
      </c>
      <c r="H1062" s="21" t="n">
        <v>12</v>
      </c>
      <c r="I1062" s="21" t="n">
        <v>6</v>
      </c>
      <c r="J1062" s="22" t="n">
        <v>0.05</v>
      </c>
      <c r="K1062" s="21" t="n">
        <f aca="false">G1062*H1062*(1-J1062)</f>
        <v>410.4</v>
      </c>
      <c r="L1062" s="21" t="n">
        <f aca="false">G1062*I1062</f>
        <v>216</v>
      </c>
      <c r="M1062" s="21" t="n">
        <f aca="false">K1062-L1062</f>
        <v>194.4</v>
      </c>
      <c r="N1062" s="11" t="str">
        <f aca="false">TEXT(B1062,"mmm")</f>
        <v>Oct</v>
      </c>
    </row>
    <row r="1063" customFormat="false" ht="15" hidden="false" customHeight="false" outlineLevel="0" collapsed="false">
      <c r="A1063" s="11" t="s">
        <v>1124</v>
      </c>
      <c r="B1063" s="20" t="n">
        <v>45936</v>
      </c>
      <c r="C1063" s="11" t="s">
        <v>24</v>
      </c>
      <c r="D1063" s="11" t="s">
        <v>37</v>
      </c>
      <c r="E1063" s="11" t="s">
        <v>53</v>
      </c>
      <c r="F1063" s="11" t="s">
        <v>42</v>
      </c>
      <c r="G1063" s="11" t="n">
        <v>37</v>
      </c>
      <c r="H1063" s="21" t="n">
        <v>9</v>
      </c>
      <c r="I1063" s="21" t="n">
        <v>4.5</v>
      </c>
      <c r="J1063" s="22" t="n">
        <v>0.05</v>
      </c>
      <c r="K1063" s="21" t="n">
        <f aca="false">G1063*H1063*(1-J1063)</f>
        <v>316.35</v>
      </c>
      <c r="L1063" s="21" t="n">
        <f aca="false">G1063*I1063</f>
        <v>166.5</v>
      </c>
      <c r="M1063" s="21" t="n">
        <f aca="false">K1063-L1063</f>
        <v>149.85</v>
      </c>
      <c r="N1063" s="11" t="str">
        <f aca="false">TEXT(B1063,"mmm")</f>
        <v>Oct</v>
      </c>
    </row>
    <row r="1064" customFormat="false" ht="15" hidden="false" customHeight="false" outlineLevel="0" collapsed="false">
      <c r="A1064" s="11" t="s">
        <v>1125</v>
      </c>
      <c r="B1064" s="20" t="n">
        <v>45936</v>
      </c>
      <c r="C1064" s="11" t="s">
        <v>18</v>
      </c>
      <c r="D1064" s="11" t="s">
        <v>33</v>
      </c>
      <c r="E1064" s="11" t="s">
        <v>48</v>
      </c>
      <c r="F1064" s="11" t="s">
        <v>45</v>
      </c>
      <c r="G1064" s="11" t="n">
        <v>1</v>
      </c>
      <c r="H1064" s="21" t="n">
        <v>520</v>
      </c>
      <c r="I1064" s="21" t="n">
        <v>415</v>
      </c>
      <c r="J1064" s="22" t="n">
        <v>0.15</v>
      </c>
      <c r="K1064" s="21" t="n">
        <f aca="false">G1064*H1064*(1-J1064)</f>
        <v>442</v>
      </c>
      <c r="L1064" s="21" t="n">
        <f aca="false">G1064*I1064</f>
        <v>415</v>
      </c>
      <c r="M1064" s="21" t="n">
        <f aca="false">K1064-L1064</f>
        <v>27</v>
      </c>
      <c r="N1064" s="11" t="str">
        <f aca="false">TEXT(B1064,"mmm")</f>
        <v>Oct</v>
      </c>
    </row>
    <row r="1065" customFormat="false" ht="15" hidden="false" customHeight="false" outlineLevel="0" collapsed="false">
      <c r="A1065" s="11" t="s">
        <v>1126</v>
      </c>
      <c r="B1065" s="20" t="n">
        <v>45937</v>
      </c>
      <c r="C1065" s="11" t="s">
        <v>22</v>
      </c>
      <c r="D1065" s="11" t="s">
        <v>35</v>
      </c>
      <c r="E1065" s="11" t="s">
        <v>56</v>
      </c>
      <c r="F1065" s="11" t="s">
        <v>45</v>
      </c>
      <c r="G1065" s="11" t="n">
        <v>3</v>
      </c>
      <c r="H1065" s="21" t="n">
        <v>110</v>
      </c>
      <c r="I1065" s="21" t="n">
        <v>62</v>
      </c>
      <c r="J1065" s="22" t="n">
        <v>0.2</v>
      </c>
      <c r="K1065" s="21" t="n">
        <f aca="false">G1065*H1065*(1-J1065)</f>
        <v>264</v>
      </c>
      <c r="L1065" s="21" t="n">
        <f aca="false">G1065*I1065</f>
        <v>186</v>
      </c>
      <c r="M1065" s="21" t="n">
        <f aca="false">K1065-L1065</f>
        <v>78</v>
      </c>
      <c r="N1065" s="11" t="str">
        <f aca="false">TEXT(B1065,"mmm")</f>
        <v>Oct</v>
      </c>
    </row>
    <row r="1066" customFormat="false" ht="15" hidden="false" customHeight="false" outlineLevel="0" collapsed="false">
      <c r="A1066" s="11" t="s">
        <v>1127</v>
      </c>
      <c r="B1066" s="20" t="n">
        <v>45937</v>
      </c>
      <c r="C1066" s="11" t="s">
        <v>18</v>
      </c>
      <c r="D1066" s="11" t="s">
        <v>37</v>
      </c>
      <c r="E1066" s="11" t="s">
        <v>52</v>
      </c>
      <c r="F1066" s="11" t="s">
        <v>42</v>
      </c>
      <c r="G1066" s="11" t="n">
        <v>12</v>
      </c>
      <c r="H1066" s="21" t="n">
        <v>12</v>
      </c>
      <c r="I1066" s="21" t="n">
        <v>6</v>
      </c>
      <c r="J1066" s="22" t="n">
        <v>0.15</v>
      </c>
      <c r="K1066" s="21" t="n">
        <f aca="false">G1066*H1066*(1-J1066)</f>
        <v>122.4</v>
      </c>
      <c r="L1066" s="21" t="n">
        <f aca="false">G1066*I1066</f>
        <v>72</v>
      </c>
      <c r="M1066" s="21" t="n">
        <f aca="false">K1066-L1066</f>
        <v>50.4</v>
      </c>
      <c r="N1066" s="11" t="str">
        <f aca="false">TEXT(B1066,"mmm")</f>
        <v>Oct</v>
      </c>
    </row>
    <row r="1067" customFormat="false" ht="15" hidden="false" customHeight="false" outlineLevel="0" collapsed="false">
      <c r="A1067" s="11" t="s">
        <v>1128</v>
      </c>
      <c r="B1067" s="20" t="n">
        <v>45937</v>
      </c>
      <c r="C1067" s="11" t="s">
        <v>20</v>
      </c>
      <c r="D1067" s="11" t="s">
        <v>35</v>
      </c>
      <c r="E1067" s="11" t="s">
        <v>55</v>
      </c>
      <c r="F1067" s="11" t="s">
        <v>44</v>
      </c>
      <c r="G1067" s="11" t="n">
        <v>4</v>
      </c>
      <c r="H1067" s="21" t="n">
        <v>150</v>
      </c>
      <c r="I1067" s="21" t="n">
        <v>82</v>
      </c>
      <c r="J1067" s="22" t="n">
        <v>0</v>
      </c>
      <c r="K1067" s="21" t="n">
        <f aca="false">G1067*H1067*(1-J1067)</f>
        <v>600</v>
      </c>
      <c r="L1067" s="21" t="n">
        <f aca="false">G1067*I1067</f>
        <v>328</v>
      </c>
      <c r="M1067" s="21" t="n">
        <f aca="false">K1067-L1067</f>
        <v>272</v>
      </c>
      <c r="N1067" s="11" t="str">
        <f aca="false">TEXT(B1067,"mmm")</f>
        <v>Oct</v>
      </c>
    </row>
    <row r="1068" customFormat="false" ht="15" hidden="false" customHeight="false" outlineLevel="0" collapsed="false">
      <c r="A1068" s="11" t="s">
        <v>1129</v>
      </c>
      <c r="B1068" s="20" t="n">
        <v>45937</v>
      </c>
      <c r="C1068" s="11" t="s">
        <v>20</v>
      </c>
      <c r="D1068" s="11" t="s">
        <v>37</v>
      </c>
      <c r="E1068" s="11" t="s">
        <v>52</v>
      </c>
      <c r="F1068" s="11" t="s">
        <v>44</v>
      </c>
      <c r="G1068" s="11" t="n">
        <v>30</v>
      </c>
      <c r="H1068" s="21" t="n">
        <v>12</v>
      </c>
      <c r="I1068" s="21" t="n">
        <v>6</v>
      </c>
      <c r="J1068" s="22" t="n">
        <v>0.05</v>
      </c>
      <c r="K1068" s="21" t="n">
        <f aca="false">G1068*H1068*(1-J1068)</f>
        <v>342</v>
      </c>
      <c r="L1068" s="21" t="n">
        <f aca="false">G1068*I1068</f>
        <v>180</v>
      </c>
      <c r="M1068" s="21" t="n">
        <f aca="false">K1068-L1068</f>
        <v>162</v>
      </c>
      <c r="N1068" s="11" t="str">
        <f aca="false">TEXT(B1068,"mmm")</f>
        <v>Oct</v>
      </c>
    </row>
    <row r="1069" customFormat="false" ht="15" hidden="false" customHeight="false" outlineLevel="0" collapsed="false">
      <c r="A1069" s="11" t="s">
        <v>1130</v>
      </c>
      <c r="B1069" s="20" t="n">
        <v>45938</v>
      </c>
      <c r="C1069" s="11" t="s">
        <v>24</v>
      </c>
      <c r="D1069" s="11" t="s">
        <v>37</v>
      </c>
      <c r="E1069" s="11" t="s">
        <v>52</v>
      </c>
      <c r="F1069" s="11" t="s">
        <v>45</v>
      </c>
      <c r="G1069" s="11" t="n">
        <v>81</v>
      </c>
      <c r="H1069" s="21" t="n">
        <v>12</v>
      </c>
      <c r="I1069" s="21" t="n">
        <v>6</v>
      </c>
      <c r="J1069" s="22" t="n">
        <v>0.1</v>
      </c>
      <c r="K1069" s="21" t="n">
        <f aca="false">G1069*H1069*(1-J1069)</f>
        <v>874.8</v>
      </c>
      <c r="L1069" s="21" t="n">
        <f aca="false">G1069*I1069</f>
        <v>486</v>
      </c>
      <c r="M1069" s="21" t="n">
        <f aca="false">K1069-L1069</f>
        <v>388.8</v>
      </c>
      <c r="N1069" s="11" t="str">
        <f aca="false">TEXT(B1069,"mmm")</f>
        <v>Oct</v>
      </c>
    </row>
    <row r="1070" customFormat="false" ht="15" hidden="false" customHeight="false" outlineLevel="0" collapsed="false">
      <c r="A1070" s="11" t="s">
        <v>1131</v>
      </c>
      <c r="B1070" s="20" t="n">
        <v>45938</v>
      </c>
      <c r="C1070" s="11" t="s">
        <v>20</v>
      </c>
      <c r="D1070" s="11" t="s">
        <v>35</v>
      </c>
      <c r="E1070" s="11" t="s">
        <v>56</v>
      </c>
      <c r="F1070" s="11" t="s">
        <v>44</v>
      </c>
      <c r="G1070" s="11" t="n">
        <v>2</v>
      </c>
      <c r="H1070" s="21" t="n">
        <v>110</v>
      </c>
      <c r="I1070" s="21" t="n">
        <v>62</v>
      </c>
      <c r="J1070" s="22" t="n">
        <v>0.05</v>
      </c>
      <c r="K1070" s="21" t="n">
        <f aca="false">G1070*H1070*(1-J1070)</f>
        <v>209</v>
      </c>
      <c r="L1070" s="21" t="n">
        <f aca="false">G1070*I1070</f>
        <v>124</v>
      </c>
      <c r="M1070" s="21" t="n">
        <f aca="false">K1070-L1070</f>
        <v>85</v>
      </c>
      <c r="N1070" s="11" t="str">
        <f aca="false">TEXT(B1070,"mmm")</f>
        <v>Oct</v>
      </c>
    </row>
    <row r="1071" customFormat="false" ht="15" hidden="false" customHeight="false" outlineLevel="0" collapsed="false">
      <c r="A1071" s="11" t="s">
        <v>1132</v>
      </c>
      <c r="B1071" s="20" t="n">
        <v>45938</v>
      </c>
      <c r="C1071" s="11" t="s">
        <v>18</v>
      </c>
      <c r="D1071" s="11" t="s">
        <v>37</v>
      </c>
      <c r="E1071" s="11" t="s">
        <v>49</v>
      </c>
      <c r="F1071" s="11" t="s">
        <v>42</v>
      </c>
      <c r="G1071" s="11" t="n">
        <v>19</v>
      </c>
      <c r="H1071" s="21" t="n">
        <v>28</v>
      </c>
      <c r="I1071" s="21" t="n">
        <v>17</v>
      </c>
      <c r="J1071" s="22" t="n">
        <v>0.05</v>
      </c>
      <c r="K1071" s="21" t="n">
        <f aca="false">G1071*H1071*(1-J1071)</f>
        <v>505.4</v>
      </c>
      <c r="L1071" s="21" t="n">
        <f aca="false">G1071*I1071</f>
        <v>323</v>
      </c>
      <c r="M1071" s="21" t="n">
        <f aca="false">K1071-L1071</f>
        <v>182.4</v>
      </c>
      <c r="N1071" s="11" t="str">
        <f aca="false">TEXT(B1071,"mmm")</f>
        <v>Oct</v>
      </c>
    </row>
    <row r="1072" customFormat="false" ht="15" hidden="false" customHeight="false" outlineLevel="0" collapsed="false">
      <c r="A1072" s="11" t="s">
        <v>1133</v>
      </c>
      <c r="B1072" s="20" t="n">
        <v>45938</v>
      </c>
      <c r="C1072" s="11" t="s">
        <v>18</v>
      </c>
      <c r="D1072" s="11" t="s">
        <v>33</v>
      </c>
      <c r="E1072" s="11" t="s">
        <v>51</v>
      </c>
      <c r="F1072" s="11" t="s">
        <v>42</v>
      </c>
      <c r="G1072" s="11" t="n">
        <v>4</v>
      </c>
      <c r="H1072" s="21" t="n">
        <v>90</v>
      </c>
      <c r="I1072" s="21" t="n">
        <v>58</v>
      </c>
      <c r="J1072" s="22" t="n">
        <v>0.05</v>
      </c>
      <c r="K1072" s="21" t="n">
        <f aca="false">G1072*H1072*(1-J1072)</f>
        <v>342</v>
      </c>
      <c r="L1072" s="21" t="n">
        <f aca="false">G1072*I1072</f>
        <v>232</v>
      </c>
      <c r="M1072" s="21" t="n">
        <f aca="false">K1072-L1072</f>
        <v>110</v>
      </c>
      <c r="N1072" s="11" t="str">
        <f aca="false">TEXT(B1072,"mmm")</f>
        <v>Oct</v>
      </c>
    </row>
    <row r="1073" customFormat="false" ht="15" hidden="false" customHeight="false" outlineLevel="0" collapsed="false">
      <c r="A1073" s="11" t="s">
        <v>1134</v>
      </c>
      <c r="B1073" s="20" t="n">
        <v>45938</v>
      </c>
      <c r="C1073" s="11" t="s">
        <v>18</v>
      </c>
      <c r="D1073" s="11" t="s">
        <v>35</v>
      </c>
      <c r="E1073" s="11" t="s">
        <v>56</v>
      </c>
      <c r="F1073" s="11" t="s">
        <v>44</v>
      </c>
      <c r="G1073" s="11" t="n">
        <v>1</v>
      </c>
      <c r="H1073" s="21" t="n">
        <v>110</v>
      </c>
      <c r="I1073" s="21" t="n">
        <v>62</v>
      </c>
      <c r="J1073" s="22" t="n">
        <v>0.05</v>
      </c>
      <c r="K1073" s="21" t="n">
        <f aca="false">G1073*H1073*(1-J1073)</f>
        <v>104.5</v>
      </c>
      <c r="L1073" s="21" t="n">
        <f aca="false">G1073*I1073</f>
        <v>62</v>
      </c>
      <c r="M1073" s="21" t="n">
        <f aca="false">K1073-L1073</f>
        <v>42.5</v>
      </c>
      <c r="N1073" s="11" t="str">
        <f aca="false">TEXT(B1073,"mmm")</f>
        <v>Oct</v>
      </c>
    </row>
    <row r="1074" customFormat="false" ht="15" hidden="false" customHeight="false" outlineLevel="0" collapsed="false">
      <c r="A1074" s="11" t="s">
        <v>1135</v>
      </c>
      <c r="B1074" s="20" t="n">
        <v>45938</v>
      </c>
      <c r="C1074" s="11" t="s">
        <v>22</v>
      </c>
      <c r="D1074" s="11" t="s">
        <v>35</v>
      </c>
      <c r="E1074" s="11" t="s">
        <v>55</v>
      </c>
      <c r="F1074" s="11" t="s">
        <v>42</v>
      </c>
      <c r="G1074" s="11" t="n">
        <v>4</v>
      </c>
      <c r="H1074" s="21" t="n">
        <v>150</v>
      </c>
      <c r="I1074" s="21" t="n">
        <v>82</v>
      </c>
      <c r="J1074" s="22" t="n">
        <v>0.1</v>
      </c>
      <c r="K1074" s="21" t="n">
        <f aca="false">G1074*H1074*(1-J1074)</f>
        <v>540</v>
      </c>
      <c r="L1074" s="21" t="n">
        <f aca="false">G1074*I1074</f>
        <v>328</v>
      </c>
      <c r="M1074" s="21" t="n">
        <f aca="false">K1074-L1074</f>
        <v>212</v>
      </c>
      <c r="N1074" s="11" t="str">
        <f aca="false">TEXT(B1074,"mmm")</f>
        <v>Oct</v>
      </c>
    </row>
    <row r="1075" customFormat="false" ht="15" hidden="false" customHeight="false" outlineLevel="0" collapsed="false">
      <c r="A1075" s="11" t="s">
        <v>1136</v>
      </c>
      <c r="B1075" s="20" t="n">
        <v>45939</v>
      </c>
      <c r="C1075" s="11" t="s">
        <v>22</v>
      </c>
      <c r="D1075" s="11" t="s">
        <v>33</v>
      </c>
      <c r="E1075" s="11" t="s">
        <v>48</v>
      </c>
      <c r="F1075" s="11" t="s">
        <v>42</v>
      </c>
      <c r="G1075" s="11" t="n">
        <v>4</v>
      </c>
      <c r="H1075" s="21" t="n">
        <v>520</v>
      </c>
      <c r="I1075" s="21" t="n">
        <v>415</v>
      </c>
      <c r="J1075" s="22" t="n">
        <v>0.05</v>
      </c>
      <c r="K1075" s="21" t="n">
        <f aca="false">G1075*H1075*(1-J1075)</f>
        <v>1976</v>
      </c>
      <c r="L1075" s="21" t="n">
        <f aca="false">G1075*I1075</f>
        <v>1660</v>
      </c>
      <c r="M1075" s="21" t="n">
        <f aca="false">K1075-L1075</f>
        <v>316</v>
      </c>
      <c r="N1075" s="11" t="str">
        <f aca="false">TEXT(B1075,"mmm")</f>
        <v>Oct</v>
      </c>
    </row>
    <row r="1076" customFormat="false" ht="15" hidden="false" customHeight="false" outlineLevel="0" collapsed="false">
      <c r="A1076" s="11" t="s">
        <v>1137</v>
      </c>
      <c r="B1076" s="20" t="n">
        <v>45939</v>
      </c>
      <c r="C1076" s="11" t="s">
        <v>20</v>
      </c>
      <c r="D1076" s="11" t="s">
        <v>35</v>
      </c>
      <c r="E1076" s="11" t="s">
        <v>55</v>
      </c>
      <c r="F1076" s="11" t="s">
        <v>42</v>
      </c>
      <c r="G1076" s="11" t="n">
        <v>3</v>
      </c>
      <c r="H1076" s="21" t="n">
        <v>150</v>
      </c>
      <c r="I1076" s="21" t="n">
        <v>82</v>
      </c>
      <c r="J1076" s="22" t="n">
        <v>0</v>
      </c>
      <c r="K1076" s="21" t="n">
        <f aca="false">G1076*H1076*(1-J1076)</f>
        <v>450</v>
      </c>
      <c r="L1076" s="21" t="n">
        <f aca="false">G1076*I1076</f>
        <v>246</v>
      </c>
      <c r="M1076" s="21" t="n">
        <f aca="false">K1076-L1076</f>
        <v>204</v>
      </c>
      <c r="N1076" s="11" t="str">
        <f aca="false">TEXT(B1076,"mmm")</f>
        <v>Oct</v>
      </c>
    </row>
    <row r="1077" customFormat="false" ht="15" hidden="false" customHeight="false" outlineLevel="0" collapsed="false">
      <c r="A1077" s="11" t="s">
        <v>1138</v>
      </c>
      <c r="B1077" s="20" t="n">
        <v>45939</v>
      </c>
      <c r="C1077" s="11" t="s">
        <v>18</v>
      </c>
      <c r="D1077" s="11" t="s">
        <v>33</v>
      </c>
      <c r="E1077" s="11" t="s">
        <v>48</v>
      </c>
      <c r="F1077" s="11" t="s">
        <v>42</v>
      </c>
      <c r="G1077" s="11" t="n">
        <v>2</v>
      </c>
      <c r="H1077" s="21" t="n">
        <v>520</v>
      </c>
      <c r="I1077" s="21" t="n">
        <v>415</v>
      </c>
      <c r="J1077" s="22" t="n">
        <v>0.15</v>
      </c>
      <c r="K1077" s="21" t="n">
        <f aca="false">G1077*H1077*(1-J1077)</f>
        <v>884</v>
      </c>
      <c r="L1077" s="21" t="n">
        <f aca="false">G1077*I1077</f>
        <v>830</v>
      </c>
      <c r="M1077" s="21" t="n">
        <f aca="false">K1077-L1077</f>
        <v>54</v>
      </c>
      <c r="N1077" s="11" t="str">
        <f aca="false">TEXT(B1077,"mmm")</f>
        <v>Oct</v>
      </c>
    </row>
    <row r="1078" customFormat="false" ht="15" hidden="false" customHeight="false" outlineLevel="0" collapsed="false">
      <c r="A1078" s="11" t="s">
        <v>1139</v>
      </c>
      <c r="B1078" s="20" t="n">
        <v>45940</v>
      </c>
      <c r="C1078" s="11" t="s">
        <v>22</v>
      </c>
      <c r="D1078" s="11" t="s">
        <v>37</v>
      </c>
      <c r="E1078" s="11" t="s">
        <v>49</v>
      </c>
      <c r="F1078" s="11" t="s">
        <v>42</v>
      </c>
      <c r="G1078" s="11" t="n">
        <v>14</v>
      </c>
      <c r="H1078" s="21" t="n">
        <v>28</v>
      </c>
      <c r="I1078" s="21" t="n">
        <v>17</v>
      </c>
      <c r="J1078" s="22" t="n">
        <v>0</v>
      </c>
      <c r="K1078" s="21" t="n">
        <f aca="false">G1078*H1078*(1-J1078)</f>
        <v>392</v>
      </c>
      <c r="L1078" s="21" t="n">
        <f aca="false">G1078*I1078</f>
        <v>238</v>
      </c>
      <c r="M1078" s="21" t="n">
        <f aca="false">K1078-L1078</f>
        <v>154</v>
      </c>
      <c r="N1078" s="11" t="str">
        <f aca="false">TEXT(B1078,"mmm")</f>
        <v>Oct</v>
      </c>
    </row>
    <row r="1079" customFormat="false" ht="15" hidden="false" customHeight="false" outlineLevel="0" collapsed="false">
      <c r="A1079" s="11" t="s">
        <v>1140</v>
      </c>
      <c r="B1079" s="20" t="n">
        <v>45940</v>
      </c>
      <c r="C1079" s="11" t="s">
        <v>20</v>
      </c>
      <c r="D1079" s="11" t="s">
        <v>35</v>
      </c>
      <c r="E1079" s="11" t="s">
        <v>54</v>
      </c>
      <c r="F1079" s="11" t="s">
        <v>44</v>
      </c>
      <c r="G1079" s="11" t="n">
        <v>2</v>
      </c>
      <c r="H1079" s="21" t="n">
        <v>320</v>
      </c>
      <c r="I1079" s="21" t="n">
        <v>185</v>
      </c>
      <c r="J1079" s="22" t="n">
        <v>0.1</v>
      </c>
      <c r="K1079" s="21" t="n">
        <f aca="false">G1079*H1079*(1-J1079)</f>
        <v>576</v>
      </c>
      <c r="L1079" s="21" t="n">
        <f aca="false">G1079*I1079</f>
        <v>370</v>
      </c>
      <c r="M1079" s="21" t="n">
        <f aca="false">K1079-L1079</f>
        <v>206</v>
      </c>
      <c r="N1079" s="11" t="str">
        <f aca="false">TEXT(B1079,"mmm")</f>
        <v>Oct</v>
      </c>
    </row>
    <row r="1080" customFormat="false" ht="15" hidden="false" customHeight="false" outlineLevel="0" collapsed="false">
      <c r="A1080" s="11" t="s">
        <v>1141</v>
      </c>
      <c r="B1080" s="20" t="n">
        <v>45940</v>
      </c>
      <c r="C1080" s="11" t="s">
        <v>24</v>
      </c>
      <c r="D1080" s="11" t="s">
        <v>37</v>
      </c>
      <c r="E1080" s="11" t="s">
        <v>52</v>
      </c>
      <c r="F1080" s="11" t="s">
        <v>44</v>
      </c>
      <c r="G1080" s="11" t="n">
        <v>21</v>
      </c>
      <c r="H1080" s="21" t="n">
        <v>12</v>
      </c>
      <c r="I1080" s="21" t="n">
        <v>6</v>
      </c>
      <c r="J1080" s="22" t="n">
        <v>0</v>
      </c>
      <c r="K1080" s="21" t="n">
        <f aca="false">G1080*H1080*(1-J1080)</f>
        <v>252</v>
      </c>
      <c r="L1080" s="21" t="n">
        <f aca="false">G1080*I1080</f>
        <v>126</v>
      </c>
      <c r="M1080" s="21" t="n">
        <f aca="false">K1080-L1080</f>
        <v>126</v>
      </c>
      <c r="N1080" s="11" t="str">
        <f aca="false">TEXT(B1080,"mmm")</f>
        <v>Oct</v>
      </c>
    </row>
    <row r="1081" customFormat="false" ht="15" hidden="false" customHeight="false" outlineLevel="0" collapsed="false">
      <c r="A1081" s="11" t="s">
        <v>1142</v>
      </c>
      <c r="B1081" s="20" t="n">
        <v>45940</v>
      </c>
      <c r="C1081" s="11" t="s">
        <v>18</v>
      </c>
      <c r="D1081" s="11" t="s">
        <v>33</v>
      </c>
      <c r="E1081" s="11" t="s">
        <v>51</v>
      </c>
      <c r="F1081" s="11" t="s">
        <v>44</v>
      </c>
      <c r="G1081" s="11" t="n">
        <v>4</v>
      </c>
      <c r="H1081" s="21" t="n">
        <v>90</v>
      </c>
      <c r="I1081" s="21" t="n">
        <v>58</v>
      </c>
      <c r="J1081" s="22" t="n">
        <v>0.1</v>
      </c>
      <c r="K1081" s="21" t="n">
        <f aca="false">G1081*H1081*(1-J1081)</f>
        <v>324</v>
      </c>
      <c r="L1081" s="21" t="n">
        <f aca="false">G1081*I1081</f>
        <v>232</v>
      </c>
      <c r="M1081" s="21" t="n">
        <f aca="false">K1081-L1081</f>
        <v>92</v>
      </c>
      <c r="N1081" s="11" t="str">
        <f aca="false">TEXT(B1081,"mmm")</f>
        <v>Oct</v>
      </c>
    </row>
    <row r="1082" customFormat="false" ht="15" hidden="false" customHeight="false" outlineLevel="0" collapsed="false">
      <c r="A1082" s="11" t="s">
        <v>1143</v>
      </c>
      <c r="B1082" s="20" t="n">
        <v>45940</v>
      </c>
      <c r="C1082" s="11" t="s">
        <v>18</v>
      </c>
      <c r="D1082" s="11" t="s">
        <v>37</v>
      </c>
      <c r="E1082" s="11" t="s">
        <v>53</v>
      </c>
      <c r="F1082" s="11" t="s">
        <v>42</v>
      </c>
      <c r="G1082" s="11" t="n">
        <v>14</v>
      </c>
      <c r="H1082" s="21" t="n">
        <v>9</v>
      </c>
      <c r="I1082" s="21" t="n">
        <v>4.5</v>
      </c>
      <c r="J1082" s="22" t="n">
        <v>0.15</v>
      </c>
      <c r="K1082" s="21" t="n">
        <f aca="false">G1082*H1082*(1-J1082)</f>
        <v>107.1</v>
      </c>
      <c r="L1082" s="21" t="n">
        <f aca="false">G1082*I1082</f>
        <v>63</v>
      </c>
      <c r="M1082" s="21" t="n">
        <f aca="false">K1082-L1082</f>
        <v>44.1</v>
      </c>
      <c r="N1082" s="11" t="str">
        <f aca="false">TEXT(B1082,"mmm")</f>
        <v>Oct</v>
      </c>
    </row>
    <row r="1083" customFormat="false" ht="15" hidden="false" customHeight="false" outlineLevel="0" collapsed="false">
      <c r="A1083" s="11" t="s">
        <v>1144</v>
      </c>
      <c r="B1083" s="20" t="n">
        <v>45940</v>
      </c>
      <c r="C1083" s="11" t="s">
        <v>24</v>
      </c>
      <c r="D1083" s="11" t="s">
        <v>37</v>
      </c>
      <c r="E1083" s="11" t="s">
        <v>52</v>
      </c>
      <c r="F1083" s="11" t="s">
        <v>42</v>
      </c>
      <c r="G1083" s="11" t="n">
        <v>36</v>
      </c>
      <c r="H1083" s="21" t="n">
        <v>12</v>
      </c>
      <c r="I1083" s="21" t="n">
        <v>6</v>
      </c>
      <c r="J1083" s="22" t="n">
        <v>0.05</v>
      </c>
      <c r="K1083" s="21" t="n">
        <f aca="false">G1083*H1083*(1-J1083)</f>
        <v>410.4</v>
      </c>
      <c r="L1083" s="21" t="n">
        <f aca="false">G1083*I1083</f>
        <v>216</v>
      </c>
      <c r="M1083" s="21" t="n">
        <f aca="false">K1083-L1083</f>
        <v>194.4</v>
      </c>
      <c r="N1083" s="11" t="str">
        <f aca="false">TEXT(B1083,"mmm")</f>
        <v>Oct</v>
      </c>
    </row>
    <row r="1084" customFormat="false" ht="15" hidden="false" customHeight="false" outlineLevel="0" collapsed="false">
      <c r="A1084" s="11" t="s">
        <v>1145</v>
      </c>
      <c r="B1084" s="20" t="n">
        <v>45940</v>
      </c>
      <c r="C1084" s="11" t="s">
        <v>18</v>
      </c>
      <c r="D1084" s="11" t="s">
        <v>37</v>
      </c>
      <c r="E1084" s="11" t="s">
        <v>52</v>
      </c>
      <c r="F1084" s="11" t="s">
        <v>42</v>
      </c>
      <c r="G1084" s="11" t="n">
        <v>10</v>
      </c>
      <c r="H1084" s="21" t="n">
        <v>12</v>
      </c>
      <c r="I1084" s="21" t="n">
        <v>6</v>
      </c>
      <c r="J1084" s="22" t="n">
        <v>0</v>
      </c>
      <c r="K1084" s="21" t="n">
        <f aca="false">G1084*H1084*(1-J1084)</f>
        <v>120</v>
      </c>
      <c r="L1084" s="21" t="n">
        <f aca="false">G1084*I1084</f>
        <v>60</v>
      </c>
      <c r="M1084" s="21" t="n">
        <f aca="false">K1084-L1084</f>
        <v>60</v>
      </c>
      <c r="N1084" s="11" t="str">
        <f aca="false">TEXT(B1084,"mmm")</f>
        <v>Oct</v>
      </c>
    </row>
    <row r="1085" customFormat="false" ht="15" hidden="false" customHeight="false" outlineLevel="0" collapsed="false">
      <c r="A1085" s="11" t="s">
        <v>1146</v>
      </c>
      <c r="B1085" s="20" t="n">
        <v>45940</v>
      </c>
      <c r="C1085" s="11" t="s">
        <v>20</v>
      </c>
      <c r="D1085" s="11" t="s">
        <v>35</v>
      </c>
      <c r="E1085" s="11" t="s">
        <v>54</v>
      </c>
      <c r="F1085" s="11" t="s">
        <v>42</v>
      </c>
      <c r="G1085" s="11" t="n">
        <v>2</v>
      </c>
      <c r="H1085" s="21" t="n">
        <v>320</v>
      </c>
      <c r="I1085" s="21" t="n">
        <v>185</v>
      </c>
      <c r="J1085" s="22" t="n">
        <v>0</v>
      </c>
      <c r="K1085" s="21" t="n">
        <f aca="false">G1085*H1085*(1-J1085)</f>
        <v>640</v>
      </c>
      <c r="L1085" s="21" t="n">
        <f aca="false">G1085*I1085</f>
        <v>370</v>
      </c>
      <c r="M1085" s="21" t="n">
        <f aca="false">K1085-L1085</f>
        <v>270</v>
      </c>
      <c r="N1085" s="11" t="str">
        <f aca="false">TEXT(B1085,"mmm")</f>
        <v>Oct</v>
      </c>
    </row>
    <row r="1086" customFormat="false" ht="15" hidden="false" customHeight="false" outlineLevel="0" collapsed="false">
      <c r="A1086" s="11" t="s">
        <v>1147</v>
      </c>
      <c r="B1086" s="20" t="n">
        <v>45940</v>
      </c>
      <c r="C1086" s="11" t="s">
        <v>22</v>
      </c>
      <c r="D1086" s="11" t="s">
        <v>37</v>
      </c>
      <c r="E1086" s="11" t="s">
        <v>52</v>
      </c>
      <c r="F1086" s="11" t="s">
        <v>42</v>
      </c>
      <c r="G1086" s="11" t="n">
        <v>17</v>
      </c>
      <c r="H1086" s="21" t="n">
        <v>12</v>
      </c>
      <c r="I1086" s="21" t="n">
        <v>6</v>
      </c>
      <c r="J1086" s="22" t="n">
        <v>0.05</v>
      </c>
      <c r="K1086" s="21" t="n">
        <f aca="false">G1086*H1086*(1-J1086)</f>
        <v>193.8</v>
      </c>
      <c r="L1086" s="21" t="n">
        <f aca="false">G1086*I1086</f>
        <v>102</v>
      </c>
      <c r="M1086" s="21" t="n">
        <f aca="false">K1086-L1086</f>
        <v>91.8</v>
      </c>
      <c r="N1086" s="11" t="str">
        <f aca="false">TEXT(B1086,"mmm")</f>
        <v>Oct</v>
      </c>
    </row>
    <row r="1087" customFormat="false" ht="15" hidden="false" customHeight="false" outlineLevel="0" collapsed="false">
      <c r="A1087" s="11" t="s">
        <v>1148</v>
      </c>
      <c r="B1087" s="20" t="n">
        <v>45941</v>
      </c>
      <c r="C1087" s="11" t="s">
        <v>22</v>
      </c>
      <c r="D1087" s="11" t="s">
        <v>37</v>
      </c>
      <c r="E1087" s="11" t="s">
        <v>52</v>
      </c>
      <c r="F1087" s="11" t="s">
        <v>42</v>
      </c>
      <c r="G1087" s="11" t="n">
        <v>16</v>
      </c>
      <c r="H1087" s="21" t="n">
        <v>12</v>
      </c>
      <c r="I1087" s="21" t="n">
        <v>6</v>
      </c>
      <c r="J1087" s="22" t="n">
        <v>0</v>
      </c>
      <c r="K1087" s="21" t="n">
        <f aca="false">G1087*H1087*(1-J1087)</f>
        <v>192</v>
      </c>
      <c r="L1087" s="21" t="n">
        <f aca="false">G1087*I1087</f>
        <v>96</v>
      </c>
      <c r="M1087" s="21" t="n">
        <f aca="false">K1087-L1087</f>
        <v>96</v>
      </c>
      <c r="N1087" s="11" t="str">
        <f aca="false">TEXT(B1087,"mmm")</f>
        <v>Oct</v>
      </c>
    </row>
    <row r="1088" customFormat="false" ht="15" hidden="false" customHeight="false" outlineLevel="0" collapsed="false">
      <c r="A1088" s="11" t="s">
        <v>1149</v>
      </c>
      <c r="B1088" s="20" t="n">
        <v>45941</v>
      </c>
      <c r="C1088" s="11" t="s">
        <v>22</v>
      </c>
      <c r="D1088" s="11" t="s">
        <v>37</v>
      </c>
      <c r="E1088" s="11" t="s">
        <v>49</v>
      </c>
      <c r="F1088" s="11" t="s">
        <v>44</v>
      </c>
      <c r="G1088" s="11" t="n">
        <v>38</v>
      </c>
      <c r="H1088" s="21" t="n">
        <v>28</v>
      </c>
      <c r="I1088" s="21" t="n">
        <v>17</v>
      </c>
      <c r="J1088" s="22" t="n">
        <v>0.05</v>
      </c>
      <c r="K1088" s="21" t="n">
        <f aca="false">G1088*H1088*(1-J1088)</f>
        <v>1010.8</v>
      </c>
      <c r="L1088" s="21" t="n">
        <f aca="false">G1088*I1088</f>
        <v>646</v>
      </c>
      <c r="M1088" s="21" t="n">
        <f aca="false">K1088-L1088</f>
        <v>364.8</v>
      </c>
      <c r="N1088" s="11" t="str">
        <f aca="false">TEXT(B1088,"mmm")</f>
        <v>Oct</v>
      </c>
    </row>
    <row r="1089" customFormat="false" ht="15" hidden="false" customHeight="false" outlineLevel="0" collapsed="false">
      <c r="A1089" s="11" t="s">
        <v>1150</v>
      </c>
      <c r="B1089" s="20" t="n">
        <v>45941</v>
      </c>
      <c r="C1089" s="11" t="s">
        <v>18</v>
      </c>
      <c r="D1089" s="11" t="s">
        <v>37</v>
      </c>
      <c r="E1089" s="11" t="s">
        <v>52</v>
      </c>
      <c r="F1089" s="11" t="s">
        <v>44</v>
      </c>
      <c r="G1089" s="11" t="n">
        <v>26</v>
      </c>
      <c r="H1089" s="21" t="n">
        <v>12</v>
      </c>
      <c r="I1089" s="21" t="n">
        <v>6</v>
      </c>
      <c r="J1089" s="22" t="n">
        <v>0</v>
      </c>
      <c r="K1089" s="21" t="n">
        <f aca="false">G1089*H1089*(1-J1089)</f>
        <v>312</v>
      </c>
      <c r="L1089" s="21" t="n">
        <f aca="false">G1089*I1089</f>
        <v>156</v>
      </c>
      <c r="M1089" s="21" t="n">
        <f aca="false">K1089-L1089</f>
        <v>156</v>
      </c>
      <c r="N1089" s="11" t="str">
        <f aca="false">TEXT(B1089,"mmm")</f>
        <v>Oct</v>
      </c>
    </row>
    <row r="1090" customFormat="false" ht="15" hidden="false" customHeight="false" outlineLevel="0" collapsed="false">
      <c r="A1090" s="11" t="s">
        <v>1151</v>
      </c>
      <c r="B1090" s="20" t="n">
        <v>45942</v>
      </c>
      <c r="C1090" s="11" t="s">
        <v>20</v>
      </c>
      <c r="D1090" s="11" t="s">
        <v>37</v>
      </c>
      <c r="E1090" s="11" t="s">
        <v>53</v>
      </c>
      <c r="F1090" s="11" t="s">
        <v>44</v>
      </c>
      <c r="G1090" s="11" t="n">
        <v>40</v>
      </c>
      <c r="H1090" s="21" t="n">
        <v>9</v>
      </c>
      <c r="I1090" s="21" t="n">
        <v>4.5</v>
      </c>
      <c r="J1090" s="22" t="n">
        <v>0.1</v>
      </c>
      <c r="K1090" s="21" t="n">
        <f aca="false">G1090*H1090*(1-J1090)</f>
        <v>324</v>
      </c>
      <c r="L1090" s="21" t="n">
        <f aca="false">G1090*I1090</f>
        <v>180</v>
      </c>
      <c r="M1090" s="21" t="n">
        <f aca="false">K1090-L1090</f>
        <v>144</v>
      </c>
      <c r="N1090" s="11" t="str">
        <f aca="false">TEXT(B1090,"mmm")</f>
        <v>Oct</v>
      </c>
    </row>
    <row r="1091" customFormat="false" ht="15" hidden="false" customHeight="false" outlineLevel="0" collapsed="false">
      <c r="A1091" s="11" t="s">
        <v>1152</v>
      </c>
      <c r="B1091" s="20" t="n">
        <v>45942</v>
      </c>
      <c r="C1091" s="11" t="s">
        <v>20</v>
      </c>
      <c r="D1091" s="11" t="s">
        <v>37</v>
      </c>
      <c r="E1091" s="11" t="s">
        <v>49</v>
      </c>
      <c r="F1091" s="11" t="s">
        <v>44</v>
      </c>
      <c r="G1091" s="11" t="n">
        <v>34</v>
      </c>
      <c r="H1091" s="21" t="n">
        <v>28</v>
      </c>
      <c r="I1091" s="21" t="n">
        <v>17</v>
      </c>
      <c r="J1091" s="22" t="n">
        <v>0</v>
      </c>
      <c r="K1091" s="21" t="n">
        <f aca="false">G1091*H1091*(1-J1091)</f>
        <v>952</v>
      </c>
      <c r="L1091" s="21" t="n">
        <f aca="false">G1091*I1091</f>
        <v>578</v>
      </c>
      <c r="M1091" s="21" t="n">
        <f aca="false">K1091-L1091</f>
        <v>374</v>
      </c>
      <c r="N1091" s="11" t="str">
        <f aca="false">TEXT(B1091,"mmm")</f>
        <v>Oct</v>
      </c>
    </row>
    <row r="1092" customFormat="false" ht="15" hidden="false" customHeight="false" outlineLevel="0" collapsed="false">
      <c r="A1092" s="11" t="s">
        <v>1153</v>
      </c>
      <c r="B1092" s="20" t="n">
        <v>45942</v>
      </c>
      <c r="C1092" s="11" t="s">
        <v>18</v>
      </c>
      <c r="D1092" s="11" t="s">
        <v>35</v>
      </c>
      <c r="E1092" s="11" t="s">
        <v>56</v>
      </c>
      <c r="F1092" s="11" t="s">
        <v>44</v>
      </c>
      <c r="G1092" s="11" t="n">
        <v>1</v>
      </c>
      <c r="H1092" s="21" t="n">
        <v>110</v>
      </c>
      <c r="I1092" s="21" t="n">
        <v>62</v>
      </c>
      <c r="J1092" s="22" t="n">
        <v>0.05</v>
      </c>
      <c r="K1092" s="21" t="n">
        <f aca="false">G1092*H1092*(1-J1092)</f>
        <v>104.5</v>
      </c>
      <c r="L1092" s="21" t="n">
        <f aca="false">G1092*I1092</f>
        <v>62</v>
      </c>
      <c r="M1092" s="21" t="n">
        <f aca="false">K1092-L1092</f>
        <v>42.5</v>
      </c>
      <c r="N1092" s="11" t="str">
        <f aca="false">TEXT(B1092,"mmm")</f>
        <v>Oct</v>
      </c>
    </row>
    <row r="1093" customFormat="false" ht="15" hidden="false" customHeight="false" outlineLevel="0" collapsed="false">
      <c r="A1093" s="11" t="s">
        <v>1154</v>
      </c>
      <c r="B1093" s="20" t="n">
        <v>45942</v>
      </c>
      <c r="C1093" s="11" t="s">
        <v>22</v>
      </c>
      <c r="D1093" s="11" t="s">
        <v>35</v>
      </c>
      <c r="E1093" s="11" t="s">
        <v>55</v>
      </c>
      <c r="F1093" s="11" t="s">
        <v>42</v>
      </c>
      <c r="G1093" s="11" t="n">
        <v>4</v>
      </c>
      <c r="H1093" s="21" t="n">
        <v>150</v>
      </c>
      <c r="I1093" s="21" t="n">
        <v>82</v>
      </c>
      <c r="J1093" s="22" t="n">
        <v>0</v>
      </c>
      <c r="K1093" s="21" t="n">
        <f aca="false">G1093*H1093*(1-J1093)</f>
        <v>600</v>
      </c>
      <c r="L1093" s="21" t="n">
        <f aca="false">G1093*I1093</f>
        <v>328</v>
      </c>
      <c r="M1093" s="21" t="n">
        <f aca="false">K1093-L1093</f>
        <v>272</v>
      </c>
      <c r="N1093" s="11" t="str">
        <f aca="false">TEXT(B1093,"mmm")</f>
        <v>Oct</v>
      </c>
    </row>
    <row r="1094" customFormat="false" ht="15" hidden="false" customHeight="false" outlineLevel="0" collapsed="false">
      <c r="A1094" s="11" t="s">
        <v>1155</v>
      </c>
      <c r="B1094" s="20" t="n">
        <v>45942</v>
      </c>
      <c r="C1094" s="11" t="s">
        <v>18</v>
      </c>
      <c r="D1094" s="11" t="s">
        <v>33</v>
      </c>
      <c r="E1094" s="11" t="s">
        <v>48</v>
      </c>
      <c r="F1094" s="11" t="s">
        <v>42</v>
      </c>
      <c r="G1094" s="11" t="n">
        <v>3</v>
      </c>
      <c r="H1094" s="21" t="n">
        <v>520</v>
      </c>
      <c r="I1094" s="21" t="n">
        <v>415</v>
      </c>
      <c r="J1094" s="22" t="n">
        <v>0.1</v>
      </c>
      <c r="K1094" s="21" t="n">
        <f aca="false">G1094*H1094*(1-J1094)</f>
        <v>1404</v>
      </c>
      <c r="L1094" s="21" t="n">
        <f aca="false">G1094*I1094</f>
        <v>1245</v>
      </c>
      <c r="M1094" s="21" t="n">
        <f aca="false">K1094-L1094</f>
        <v>159</v>
      </c>
      <c r="N1094" s="11" t="str">
        <f aca="false">TEXT(B1094,"mmm")</f>
        <v>Oct</v>
      </c>
    </row>
    <row r="1095" customFormat="false" ht="15" hidden="false" customHeight="false" outlineLevel="0" collapsed="false">
      <c r="A1095" s="11" t="s">
        <v>1156</v>
      </c>
      <c r="B1095" s="20" t="n">
        <v>45942</v>
      </c>
      <c r="C1095" s="11" t="s">
        <v>20</v>
      </c>
      <c r="D1095" s="11" t="s">
        <v>37</v>
      </c>
      <c r="E1095" s="11" t="s">
        <v>49</v>
      </c>
      <c r="F1095" s="11" t="s">
        <v>45</v>
      </c>
      <c r="G1095" s="11" t="n">
        <v>42</v>
      </c>
      <c r="H1095" s="21" t="n">
        <v>28</v>
      </c>
      <c r="I1095" s="21" t="n">
        <v>17</v>
      </c>
      <c r="J1095" s="22" t="n">
        <v>0.15</v>
      </c>
      <c r="K1095" s="21" t="n">
        <f aca="false">G1095*H1095*(1-J1095)</f>
        <v>999.6</v>
      </c>
      <c r="L1095" s="21" t="n">
        <f aca="false">G1095*I1095</f>
        <v>714</v>
      </c>
      <c r="M1095" s="21" t="n">
        <f aca="false">K1095-L1095</f>
        <v>285.6</v>
      </c>
      <c r="N1095" s="11" t="str">
        <f aca="false">TEXT(B1095,"mmm")</f>
        <v>Oct</v>
      </c>
    </row>
    <row r="1096" customFormat="false" ht="15" hidden="false" customHeight="false" outlineLevel="0" collapsed="false">
      <c r="A1096" s="11" t="s">
        <v>1157</v>
      </c>
      <c r="B1096" s="20" t="n">
        <v>45943</v>
      </c>
      <c r="C1096" s="11" t="s">
        <v>24</v>
      </c>
      <c r="D1096" s="11" t="s">
        <v>37</v>
      </c>
      <c r="E1096" s="11" t="s">
        <v>52</v>
      </c>
      <c r="F1096" s="11" t="s">
        <v>44</v>
      </c>
      <c r="G1096" s="11" t="n">
        <v>25</v>
      </c>
      <c r="H1096" s="21" t="n">
        <v>12</v>
      </c>
      <c r="I1096" s="21" t="n">
        <v>6</v>
      </c>
      <c r="J1096" s="22" t="n">
        <v>0</v>
      </c>
      <c r="K1096" s="21" t="n">
        <f aca="false">G1096*H1096*(1-J1096)</f>
        <v>300</v>
      </c>
      <c r="L1096" s="21" t="n">
        <f aca="false">G1096*I1096</f>
        <v>150</v>
      </c>
      <c r="M1096" s="21" t="n">
        <f aca="false">K1096-L1096</f>
        <v>150</v>
      </c>
      <c r="N1096" s="11" t="str">
        <f aca="false">TEXT(B1096,"mmm")</f>
        <v>Oct</v>
      </c>
    </row>
    <row r="1097" customFormat="false" ht="15" hidden="false" customHeight="false" outlineLevel="0" collapsed="false">
      <c r="A1097" s="11" t="s">
        <v>1158</v>
      </c>
      <c r="B1097" s="20" t="n">
        <v>45943</v>
      </c>
      <c r="C1097" s="11" t="s">
        <v>22</v>
      </c>
      <c r="D1097" s="11" t="s">
        <v>37</v>
      </c>
      <c r="E1097" s="11" t="s">
        <v>52</v>
      </c>
      <c r="F1097" s="11" t="s">
        <v>44</v>
      </c>
      <c r="G1097" s="11" t="n">
        <v>39</v>
      </c>
      <c r="H1097" s="21" t="n">
        <v>12</v>
      </c>
      <c r="I1097" s="21" t="n">
        <v>6</v>
      </c>
      <c r="J1097" s="22" t="n">
        <v>0</v>
      </c>
      <c r="K1097" s="21" t="n">
        <f aca="false">G1097*H1097*(1-J1097)</f>
        <v>468</v>
      </c>
      <c r="L1097" s="21" t="n">
        <f aca="false">G1097*I1097</f>
        <v>234</v>
      </c>
      <c r="M1097" s="21" t="n">
        <f aca="false">K1097-L1097</f>
        <v>234</v>
      </c>
      <c r="N1097" s="11" t="str">
        <f aca="false">TEXT(B1097,"mmm")</f>
        <v>Oct</v>
      </c>
    </row>
    <row r="1098" customFormat="false" ht="15" hidden="false" customHeight="false" outlineLevel="0" collapsed="false">
      <c r="A1098" s="11" t="s">
        <v>1159</v>
      </c>
      <c r="B1098" s="20" t="n">
        <v>45943</v>
      </c>
      <c r="C1098" s="11" t="s">
        <v>20</v>
      </c>
      <c r="D1098" s="11" t="s">
        <v>37</v>
      </c>
      <c r="E1098" s="11" t="s">
        <v>53</v>
      </c>
      <c r="F1098" s="11" t="s">
        <v>42</v>
      </c>
      <c r="G1098" s="11" t="n">
        <v>1</v>
      </c>
      <c r="H1098" s="21" t="n">
        <v>9</v>
      </c>
      <c r="I1098" s="21" t="n">
        <v>4.5</v>
      </c>
      <c r="J1098" s="22" t="n">
        <v>0</v>
      </c>
      <c r="K1098" s="21" t="n">
        <f aca="false">G1098*H1098*(1-J1098)</f>
        <v>9</v>
      </c>
      <c r="L1098" s="21" t="n">
        <f aca="false">G1098*I1098</f>
        <v>4.5</v>
      </c>
      <c r="M1098" s="21" t="n">
        <f aca="false">K1098-L1098</f>
        <v>4.5</v>
      </c>
      <c r="N1098" s="11" t="str">
        <f aca="false">TEXT(B1098,"mmm")</f>
        <v>Oct</v>
      </c>
    </row>
    <row r="1099" customFormat="false" ht="15" hidden="false" customHeight="false" outlineLevel="0" collapsed="false">
      <c r="A1099" s="11" t="s">
        <v>1160</v>
      </c>
      <c r="B1099" s="20" t="n">
        <v>45943</v>
      </c>
      <c r="C1099" s="11" t="s">
        <v>20</v>
      </c>
      <c r="D1099" s="11" t="s">
        <v>37</v>
      </c>
      <c r="E1099" s="11" t="s">
        <v>53</v>
      </c>
      <c r="F1099" s="11" t="s">
        <v>44</v>
      </c>
      <c r="G1099" s="11" t="n">
        <v>32</v>
      </c>
      <c r="H1099" s="21" t="n">
        <v>9</v>
      </c>
      <c r="I1099" s="21" t="n">
        <v>4.5</v>
      </c>
      <c r="J1099" s="22" t="n">
        <v>0</v>
      </c>
      <c r="K1099" s="21" t="n">
        <f aca="false">G1099*H1099*(1-J1099)</f>
        <v>288</v>
      </c>
      <c r="L1099" s="21" t="n">
        <f aca="false">G1099*I1099</f>
        <v>144</v>
      </c>
      <c r="M1099" s="21" t="n">
        <f aca="false">K1099-L1099</f>
        <v>144</v>
      </c>
      <c r="N1099" s="11" t="str">
        <f aca="false">TEXT(B1099,"mmm")</f>
        <v>Oct</v>
      </c>
    </row>
    <row r="1100" customFormat="false" ht="15" hidden="false" customHeight="false" outlineLevel="0" collapsed="false">
      <c r="A1100" s="11" t="s">
        <v>1161</v>
      </c>
      <c r="B1100" s="20" t="n">
        <v>45943</v>
      </c>
      <c r="C1100" s="11" t="s">
        <v>24</v>
      </c>
      <c r="D1100" s="11" t="s">
        <v>35</v>
      </c>
      <c r="E1100" s="11" t="s">
        <v>55</v>
      </c>
      <c r="F1100" s="11" t="s">
        <v>42</v>
      </c>
      <c r="G1100" s="11" t="n">
        <v>4</v>
      </c>
      <c r="H1100" s="21" t="n">
        <v>150</v>
      </c>
      <c r="I1100" s="21" t="n">
        <v>82</v>
      </c>
      <c r="J1100" s="22" t="n">
        <v>0</v>
      </c>
      <c r="K1100" s="21" t="n">
        <f aca="false">G1100*H1100*(1-J1100)</f>
        <v>600</v>
      </c>
      <c r="L1100" s="21" t="n">
        <f aca="false">G1100*I1100</f>
        <v>328</v>
      </c>
      <c r="M1100" s="21" t="n">
        <f aca="false">K1100-L1100</f>
        <v>272</v>
      </c>
      <c r="N1100" s="11" t="str">
        <f aca="false">TEXT(B1100,"mmm")</f>
        <v>Oct</v>
      </c>
    </row>
    <row r="1101" customFormat="false" ht="15" hidden="false" customHeight="false" outlineLevel="0" collapsed="false">
      <c r="A1101" s="11" t="s">
        <v>1162</v>
      </c>
      <c r="B1101" s="20" t="n">
        <v>45943</v>
      </c>
      <c r="C1101" s="11" t="s">
        <v>20</v>
      </c>
      <c r="D1101" s="11" t="s">
        <v>35</v>
      </c>
      <c r="E1101" s="11" t="s">
        <v>56</v>
      </c>
      <c r="F1101" s="11" t="s">
        <v>42</v>
      </c>
      <c r="G1101" s="11" t="n">
        <v>1</v>
      </c>
      <c r="H1101" s="21" t="n">
        <v>110</v>
      </c>
      <c r="I1101" s="21" t="n">
        <v>62</v>
      </c>
      <c r="J1101" s="22" t="n">
        <v>0.05</v>
      </c>
      <c r="K1101" s="21" t="n">
        <f aca="false">G1101*H1101*(1-J1101)</f>
        <v>104.5</v>
      </c>
      <c r="L1101" s="21" t="n">
        <f aca="false">G1101*I1101</f>
        <v>62</v>
      </c>
      <c r="M1101" s="21" t="n">
        <f aca="false">K1101-L1101</f>
        <v>42.5</v>
      </c>
      <c r="N1101" s="11" t="str">
        <f aca="false">TEXT(B1101,"mmm")</f>
        <v>Oct</v>
      </c>
    </row>
    <row r="1102" customFormat="false" ht="15" hidden="false" customHeight="false" outlineLevel="0" collapsed="false">
      <c r="A1102" s="11" t="s">
        <v>1163</v>
      </c>
      <c r="B1102" s="20" t="n">
        <v>45943</v>
      </c>
      <c r="C1102" s="11" t="s">
        <v>24</v>
      </c>
      <c r="D1102" s="11" t="s">
        <v>37</v>
      </c>
      <c r="E1102" s="11" t="s">
        <v>49</v>
      </c>
      <c r="F1102" s="11" t="s">
        <v>42</v>
      </c>
      <c r="G1102" s="11" t="n">
        <v>39</v>
      </c>
      <c r="H1102" s="21" t="n">
        <v>28</v>
      </c>
      <c r="I1102" s="21" t="n">
        <v>17</v>
      </c>
      <c r="J1102" s="22" t="n">
        <v>0.05</v>
      </c>
      <c r="K1102" s="21" t="n">
        <f aca="false">G1102*H1102*(1-J1102)</f>
        <v>1037.4</v>
      </c>
      <c r="L1102" s="21" t="n">
        <f aca="false">G1102*I1102</f>
        <v>663</v>
      </c>
      <c r="M1102" s="21" t="n">
        <f aca="false">K1102-L1102</f>
        <v>374.4</v>
      </c>
      <c r="N1102" s="11" t="str">
        <f aca="false">TEXT(B1102,"mmm")</f>
        <v>Oct</v>
      </c>
    </row>
    <row r="1103" customFormat="false" ht="15" hidden="false" customHeight="false" outlineLevel="0" collapsed="false">
      <c r="A1103" s="11" t="s">
        <v>1164</v>
      </c>
      <c r="B1103" s="20" t="n">
        <v>45944</v>
      </c>
      <c r="C1103" s="11" t="s">
        <v>24</v>
      </c>
      <c r="D1103" s="11" t="s">
        <v>33</v>
      </c>
      <c r="E1103" s="11" t="s">
        <v>51</v>
      </c>
      <c r="F1103" s="11" t="s">
        <v>42</v>
      </c>
      <c r="G1103" s="11" t="n">
        <v>2</v>
      </c>
      <c r="H1103" s="21" t="n">
        <v>90</v>
      </c>
      <c r="I1103" s="21" t="n">
        <v>58</v>
      </c>
      <c r="J1103" s="22" t="n">
        <v>0.05</v>
      </c>
      <c r="K1103" s="21" t="n">
        <f aca="false">G1103*H1103*(1-J1103)</f>
        <v>171</v>
      </c>
      <c r="L1103" s="21" t="n">
        <f aca="false">G1103*I1103</f>
        <v>116</v>
      </c>
      <c r="M1103" s="21" t="n">
        <f aca="false">K1103-L1103</f>
        <v>55</v>
      </c>
      <c r="N1103" s="11" t="str">
        <f aca="false">TEXT(B1103,"mmm")</f>
        <v>Oct</v>
      </c>
    </row>
    <row r="1104" customFormat="false" ht="15" hidden="false" customHeight="false" outlineLevel="0" collapsed="false">
      <c r="A1104" s="11" t="s">
        <v>1165</v>
      </c>
      <c r="B1104" s="20" t="n">
        <v>45944</v>
      </c>
      <c r="C1104" s="11" t="s">
        <v>24</v>
      </c>
      <c r="D1104" s="11" t="s">
        <v>37</v>
      </c>
      <c r="E1104" s="11" t="s">
        <v>53</v>
      </c>
      <c r="F1104" s="11" t="s">
        <v>45</v>
      </c>
      <c r="G1104" s="11" t="n">
        <v>27</v>
      </c>
      <c r="H1104" s="21" t="n">
        <v>9</v>
      </c>
      <c r="I1104" s="21" t="n">
        <v>4.5</v>
      </c>
      <c r="J1104" s="22" t="n">
        <v>0.2</v>
      </c>
      <c r="K1104" s="21" t="n">
        <f aca="false">G1104*H1104*(1-J1104)</f>
        <v>194.4</v>
      </c>
      <c r="L1104" s="21" t="n">
        <f aca="false">G1104*I1104</f>
        <v>121.5</v>
      </c>
      <c r="M1104" s="21" t="n">
        <f aca="false">K1104-L1104</f>
        <v>72.9</v>
      </c>
      <c r="N1104" s="11" t="str">
        <f aca="false">TEXT(B1104,"mmm")</f>
        <v>Oct</v>
      </c>
    </row>
    <row r="1105" customFormat="false" ht="15" hidden="false" customHeight="false" outlineLevel="0" collapsed="false">
      <c r="A1105" s="11" t="s">
        <v>1166</v>
      </c>
      <c r="B1105" s="20" t="n">
        <v>45944</v>
      </c>
      <c r="C1105" s="11" t="s">
        <v>22</v>
      </c>
      <c r="D1105" s="11" t="s">
        <v>33</v>
      </c>
      <c r="E1105" s="11" t="s">
        <v>50</v>
      </c>
      <c r="F1105" s="11" t="s">
        <v>44</v>
      </c>
      <c r="G1105" s="11" t="n">
        <v>2</v>
      </c>
      <c r="H1105" s="21" t="n">
        <v>780</v>
      </c>
      <c r="I1105" s="21" t="n">
        <v>600</v>
      </c>
      <c r="J1105" s="22" t="n">
        <v>0</v>
      </c>
      <c r="K1105" s="21" t="n">
        <f aca="false">G1105*H1105*(1-J1105)</f>
        <v>1560</v>
      </c>
      <c r="L1105" s="21" t="n">
        <f aca="false">G1105*I1105</f>
        <v>1200</v>
      </c>
      <c r="M1105" s="21" t="n">
        <f aca="false">K1105-L1105</f>
        <v>360</v>
      </c>
      <c r="N1105" s="11" t="str">
        <f aca="false">TEXT(B1105,"mmm")</f>
        <v>Oct</v>
      </c>
    </row>
    <row r="1106" customFormat="false" ht="15" hidden="false" customHeight="false" outlineLevel="0" collapsed="false">
      <c r="A1106" s="11" t="s">
        <v>1167</v>
      </c>
      <c r="B1106" s="20" t="n">
        <v>45944</v>
      </c>
      <c r="C1106" s="11" t="s">
        <v>22</v>
      </c>
      <c r="D1106" s="11" t="s">
        <v>35</v>
      </c>
      <c r="E1106" s="11" t="s">
        <v>54</v>
      </c>
      <c r="F1106" s="11" t="s">
        <v>42</v>
      </c>
      <c r="G1106" s="11" t="n">
        <v>3</v>
      </c>
      <c r="H1106" s="21" t="n">
        <v>320</v>
      </c>
      <c r="I1106" s="21" t="n">
        <v>185</v>
      </c>
      <c r="J1106" s="22" t="n">
        <v>0</v>
      </c>
      <c r="K1106" s="21" t="n">
        <f aca="false">G1106*H1106*(1-J1106)</f>
        <v>960</v>
      </c>
      <c r="L1106" s="21" t="n">
        <f aca="false">G1106*I1106</f>
        <v>555</v>
      </c>
      <c r="M1106" s="21" t="n">
        <f aca="false">K1106-L1106</f>
        <v>405</v>
      </c>
      <c r="N1106" s="11" t="str">
        <f aca="false">TEXT(B1106,"mmm")</f>
        <v>Oct</v>
      </c>
    </row>
    <row r="1107" customFormat="false" ht="15" hidden="false" customHeight="false" outlineLevel="0" collapsed="false">
      <c r="A1107" s="11" t="s">
        <v>1168</v>
      </c>
      <c r="B1107" s="20" t="n">
        <v>45944</v>
      </c>
      <c r="C1107" s="11" t="s">
        <v>18</v>
      </c>
      <c r="D1107" s="11" t="s">
        <v>33</v>
      </c>
      <c r="E1107" s="11" t="s">
        <v>51</v>
      </c>
      <c r="F1107" s="11" t="s">
        <v>42</v>
      </c>
      <c r="G1107" s="11" t="n">
        <v>3</v>
      </c>
      <c r="H1107" s="21" t="n">
        <v>90</v>
      </c>
      <c r="I1107" s="21" t="n">
        <v>58</v>
      </c>
      <c r="J1107" s="22" t="n">
        <v>0.05</v>
      </c>
      <c r="K1107" s="21" t="n">
        <f aca="false">G1107*H1107*(1-J1107)</f>
        <v>256.5</v>
      </c>
      <c r="L1107" s="21" t="n">
        <f aca="false">G1107*I1107</f>
        <v>174</v>
      </c>
      <c r="M1107" s="21" t="n">
        <f aca="false">K1107-L1107</f>
        <v>82.5</v>
      </c>
      <c r="N1107" s="11" t="str">
        <f aca="false">TEXT(B1107,"mmm")</f>
        <v>Oct</v>
      </c>
    </row>
    <row r="1108" customFormat="false" ht="15" hidden="false" customHeight="false" outlineLevel="0" collapsed="false">
      <c r="A1108" s="11" t="s">
        <v>1169</v>
      </c>
      <c r="B1108" s="20" t="n">
        <v>45944</v>
      </c>
      <c r="C1108" s="11" t="s">
        <v>20</v>
      </c>
      <c r="D1108" s="11" t="s">
        <v>33</v>
      </c>
      <c r="E1108" s="11" t="s">
        <v>48</v>
      </c>
      <c r="F1108" s="11" t="s">
        <v>42</v>
      </c>
      <c r="G1108" s="11" t="n">
        <v>2</v>
      </c>
      <c r="H1108" s="21" t="n">
        <v>520</v>
      </c>
      <c r="I1108" s="21" t="n">
        <v>415</v>
      </c>
      <c r="J1108" s="22" t="n">
        <v>0.1</v>
      </c>
      <c r="K1108" s="21" t="n">
        <f aca="false">G1108*H1108*(1-J1108)</f>
        <v>936</v>
      </c>
      <c r="L1108" s="21" t="n">
        <f aca="false">G1108*I1108</f>
        <v>830</v>
      </c>
      <c r="M1108" s="21" t="n">
        <f aca="false">K1108-L1108</f>
        <v>106</v>
      </c>
      <c r="N1108" s="11" t="str">
        <f aca="false">TEXT(B1108,"mmm")</f>
        <v>Oct</v>
      </c>
    </row>
    <row r="1109" customFormat="false" ht="15" hidden="false" customHeight="false" outlineLevel="0" collapsed="false">
      <c r="A1109" s="11" t="s">
        <v>1170</v>
      </c>
      <c r="B1109" s="20" t="n">
        <v>45944</v>
      </c>
      <c r="C1109" s="11" t="s">
        <v>18</v>
      </c>
      <c r="D1109" s="11" t="s">
        <v>35</v>
      </c>
      <c r="E1109" s="11" t="s">
        <v>55</v>
      </c>
      <c r="F1109" s="11" t="s">
        <v>44</v>
      </c>
      <c r="G1109" s="11" t="n">
        <v>3</v>
      </c>
      <c r="H1109" s="21" t="n">
        <v>150</v>
      </c>
      <c r="I1109" s="21" t="n">
        <v>82</v>
      </c>
      <c r="J1109" s="22" t="n">
        <v>0.05</v>
      </c>
      <c r="K1109" s="21" t="n">
        <f aca="false">G1109*H1109*(1-J1109)</f>
        <v>427.5</v>
      </c>
      <c r="L1109" s="21" t="n">
        <f aca="false">G1109*I1109</f>
        <v>246</v>
      </c>
      <c r="M1109" s="21" t="n">
        <f aca="false">K1109-L1109</f>
        <v>181.5</v>
      </c>
      <c r="N1109" s="11" t="str">
        <f aca="false">TEXT(B1109,"mmm")</f>
        <v>Oct</v>
      </c>
    </row>
    <row r="1110" customFormat="false" ht="15" hidden="false" customHeight="false" outlineLevel="0" collapsed="false">
      <c r="A1110" s="11" t="s">
        <v>1171</v>
      </c>
      <c r="B1110" s="20" t="n">
        <v>45945</v>
      </c>
      <c r="C1110" s="11" t="s">
        <v>22</v>
      </c>
      <c r="D1110" s="11" t="s">
        <v>35</v>
      </c>
      <c r="E1110" s="11" t="s">
        <v>56</v>
      </c>
      <c r="F1110" s="11" t="s">
        <v>44</v>
      </c>
      <c r="G1110" s="11" t="n">
        <v>4</v>
      </c>
      <c r="H1110" s="21" t="n">
        <v>110</v>
      </c>
      <c r="I1110" s="21" t="n">
        <v>62</v>
      </c>
      <c r="J1110" s="22" t="n">
        <v>0.1</v>
      </c>
      <c r="K1110" s="21" t="n">
        <f aca="false">G1110*H1110*(1-J1110)</f>
        <v>396</v>
      </c>
      <c r="L1110" s="21" t="n">
        <f aca="false">G1110*I1110</f>
        <v>248</v>
      </c>
      <c r="M1110" s="21" t="n">
        <f aca="false">K1110-L1110</f>
        <v>148</v>
      </c>
      <c r="N1110" s="11" t="str">
        <f aca="false">TEXT(B1110,"mmm")</f>
        <v>Oct</v>
      </c>
    </row>
    <row r="1111" customFormat="false" ht="15" hidden="false" customHeight="false" outlineLevel="0" collapsed="false">
      <c r="A1111" s="11" t="s">
        <v>1172</v>
      </c>
      <c r="B1111" s="20" t="n">
        <v>45945</v>
      </c>
      <c r="C1111" s="11" t="s">
        <v>18</v>
      </c>
      <c r="D1111" s="11" t="s">
        <v>33</v>
      </c>
      <c r="E1111" s="11" t="s">
        <v>51</v>
      </c>
      <c r="F1111" s="11" t="s">
        <v>42</v>
      </c>
      <c r="G1111" s="11" t="n">
        <v>6</v>
      </c>
      <c r="H1111" s="21" t="n">
        <v>90</v>
      </c>
      <c r="I1111" s="21" t="n">
        <v>58</v>
      </c>
      <c r="J1111" s="22" t="n">
        <v>0.05</v>
      </c>
      <c r="K1111" s="21" t="n">
        <f aca="false">G1111*H1111*(1-J1111)</f>
        <v>513</v>
      </c>
      <c r="L1111" s="21" t="n">
        <f aca="false">G1111*I1111</f>
        <v>348</v>
      </c>
      <c r="M1111" s="21" t="n">
        <f aca="false">K1111-L1111</f>
        <v>165</v>
      </c>
      <c r="N1111" s="11" t="str">
        <f aca="false">TEXT(B1111,"mmm")</f>
        <v>Oct</v>
      </c>
    </row>
    <row r="1112" customFormat="false" ht="15" hidden="false" customHeight="false" outlineLevel="0" collapsed="false">
      <c r="A1112" s="11" t="s">
        <v>1173</v>
      </c>
      <c r="B1112" s="20" t="n">
        <v>45945</v>
      </c>
      <c r="C1112" s="11" t="s">
        <v>20</v>
      </c>
      <c r="D1112" s="11" t="s">
        <v>37</v>
      </c>
      <c r="E1112" s="11" t="s">
        <v>52</v>
      </c>
      <c r="F1112" s="11" t="s">
        <v>42</v>
      </c>
      <c r="G1112" s="11" t="n">
        <v>30</v>
      </c>
      <c r="H1112" s="21" t="n">
        <v>12</v>
      </c>
      <c r="I1112" s="21" t="n">
        <v>6</v>
      </c>
      <c r="J1112" s="22" t="n">
        <v>0</v>
      </c>
      <c r="K1112" s="21" t="n">
        <f aca="false">G1112*H1112*(1-J1112)</f>
        <v>360</v>
      </c>
      <c r="L1112" s="21" t="n">
        <f aca="false">G1112*I1112</f>
        <v>180</v>
      </c>
      <c r="M1112" s="21" t="n">
        <f aca="false">K1112-L1112</f>
        <v>180</v>
      </c>
      <c r="N1112" s="11" t="str">
        <f aca="false">TEXT(B1112,"mmm")</f>
        <v>Oct</v>
      </c>
    </row>
    <row r="1113" customFormat="false" ht="15" hidden="false" customHeight="false" outlineLevel="0" collapsed="false">
      <c r="A1113" s="11" t="s">
        <v>1174</v>
      </c>
      <c r="B1113" s="20" t="n">
        <v>45945</v>
      </c>
      <c r="C1113" s="11" t="s">
        <v>22</v>
      </c>
      <c r="D1113" s="11" t="s">
        <v>35</v>
      </c>
      <c r="E1113" s="11" t="s">
        <v>54</v>
      </c>
      <c r="F1113" s="11" t="s">
        <v>44</v>
      </c>
      <c r="G1113" s="11" t="n">
        <v>2</v>
      </c>
      <c r="H1113" s="21" t="n">
        <v>320</v>
      </c>
      <c r="I1113" s="21" t="n">
        <v>185</v>
      </c>
      <c r="J1113" s="22" t="n">
        <v>0</v>
      </c>
      <c r="K1113" s="21" t="n">
        <f aca="false">G1113*H1113*(1-J1113)</f>
        <v>640</v>
      </c>
      <c r="L1113" s="21" t="n">
        <f aca="false">G1113*I1113</f>
        <v>370</v>
      </c>
      <c r="M1113" s="21" t="n">
        <f aca="false">K1113-L1113</f>
        <v>270</v>
      </c>
      <c r="N1113" s="11" t="str">
        <f aca="false">TEXT(B1113,"mmm")</f>
        <v>Oct</v>
      </c>
    </row>
    <row r="1114" customFormat="false" ht="15" hidden="false" customHeight="false" outlineLevel="0" collapsed="false">
      <c r="A1114" s="11" t="s">
        <v>1175</v>
      </c>
      <c r="B1114" s="20" t="n">
        <v>45945</v>
      </c>
      <c r="C1114" s="11" t="s">
        <v>24</v>
      </c>
      <c r="D1114" s="11" t="s">
        <v>37</v>
      </c>
      <c r="E1114" s="11" t="s">
        <v>49</v>
      </c>
      <c r="F1114" s="11" t="s">
        <v>45</v>
      </c>
      <c r="G1114" s="11" t="n">
        <v>114</v>
      </c>
      <c r="H1114" s="21" t="n">
        <v>28</v>
      </c>
      <c r="I1114" s="21" t="n">
        <v>17</v>
      </c>
      <c r="J1114" s="22" t="n">
        <v>0.1</v>
      </c>
      <c r="K1114" s="21" t="n">
        <f aca="false">G1114*H1114*(1-J1114)</f>
        <v>2872.8</v>
      </c>
      <c r="L1114" s="21" t="n">
        <f aca="false">G1114*I1114</f>
        <v>1938</v>
      </c>
      <c r="M1114" s="21" t="n">
        <f aca="false">K1114-L1114</f>
        <v>934.8</v>
      </c>
      <c r="N1114" s="11" t="str">
        <f aca="false">TEXT(B1114,"mmm")</f>
        <v>Oct</v>
      </c>
    </row>
    <row r="1115" customFormat="false" ht="15" hidden="false" customHeight="false" outlineLevel="0" collapsed="false">
      <c r="A1115" s="11" t="s">
        <v>1176</v>
      </c>
      <c r="B1115" s="20" t="n">
        <v>45945</v>
      </c>
      <c r="C1115" s="11" t="s">
        <v>22</v>
      </c>
      <c r="D1115" s="11" t="s">
        <v>33</v>
      </c>
      <c r="E1115" s="11" t="s">
        <v>51</v>
      </c>
      <c r="F1115" s="11" t="s">
        <v>44</v>
      </c>
      <c r="G1115" s="11" t="n">
        <v>6</v>
      </c>
      <c r="H1115" s="21" t="n">
        <v>90</v>
      </c>
      <c r="I1115" s="21" t="n">
        <v>58</v>
      </c>
      <c r="J1115" s="22" t="n">
        <v>0.1</v>
      </c>
      <c r="K1115" s="21" t="n">
        <f aca="false">G1115*H1115*(1-J1115)</f>
        <v>486</v>
      </c>
      <c r="L1115" s="21" t="n">
        <f aca="false">G1115*I1115</f>
        <v>348</v>
      </c>
      <c r="M1115" s="21" t="n">
        <f aca="false">K1115-L1115</f>
        <v>138</v>
      </c>
      <c r="N1115" s="11" t="str">
        <f aca="false">TEXT(B1115,"mmm")</f>
        <v>Oct</v>
      </c>
    </row>
    <row r="1116" customFormat="false" ht="15" hidden="false" customHeight="false" outlineLevel="0" collapsed="false">
      <c r="A1116" s="11" t="s">
        <v>1177</v>
      </c>
      <c r="B1116" s="20" t="n">
        <v>45946</v>
      </c>
      <c r="C1116" s="11" t="s">
        <v>20</v>
      </c>
      <c r="D1116" s="11" t="s">
        <v>37</v>
      </c>
      <c r="E1116" s="11" t="s">
        <v>53</v>
      </c>
      <c r="F1116" s="11" t="s">
        <v>44</v>
      </c>
      <c r="G1116" s="11" t="n">
        <v>18</v>
      </c>
      <c r="H1116" s="21" t="n">
        <v>9</v>
      </c>
      <c r="I1116" s="21" t="n">
        <v>4.5</v>
      </c>
      <c r="J1116" s="22" t="n">
        <v>0.05</v>
      </c>
      <c r="K1116" s="21" t="n">
        <f aca="false">G1116*H1116*(1-J1116)</f>
        <v>153.9</v>
      </c>
      <c r="L1116" s="21" t="n">
        <f aca="false">G1116*I1116</f>
        <v>81</v>
      </c>
      <c r="M1116" s="21" t="n">
        <f aca="false">K1116-L1116</f>
        <v>72.9</v>
      </c>
      <c r="N1116" s="11" t="str">
        <f aca="false">TEXT(B1116,"mmm")</f>
        <v>Oct</v>
      </c>
    </row>
    <row r="1117" customFormat="false" ht="15" hidden="false" customHeight="false" outlineLevel="0" collapsed="false">
      <c r="A1117" s="11" t="s">
        <v>1178</v>
      </c>
      <c r="B1117" s="20" t="n">
        <v>45946</v>
      </c>
      <c r="C1117" s="11" t="s">
        <v>18</v>
      </c>
      <c r="D1117" s="11" t="s">
        <v>37</v>
      </c>
      <c r="E1117" s="11" t="s">
        <v>53</v>
      </c>
      <c r="F1117" s="11" t="s">
        <v>42</v>
      </c>
      <c r="G1117" s="11" t="n">
        <v>10</v>
      </c>
      <c r="H1117" s="21" t="n">
        <v>9</v>
      </c>
      <c r="I1117" s="21" t="n">
        <v>4.5</v>
      </c>
      <c r="J1117" s="22" t="n">
        <v>0.1</v>
      </c>
      <c r="K1117" s="21" t="n">
        <f aca="false">G1117*H1117*(1-J1117)</f>
        <v>81</v>
      </c>
      <c r="L1117" s="21" t="n">
        <f aca="false">G1117*I1117</f>
        <v>45</v>
      </c>
      <c r="M1117" s="21" t="n">
        <f aca="false">K1117-L1117</f>
        <v>36</v>
      </c>
      <c r="N1117" s="11" t="str">
        <f aca="false">TEXT(B1117,"mmm")</f>
        <v>Oct</v>
      </c>
    </row>
    <row r="1118" customFormat="false" ht="15" hidden="false" customHeight="false" outlineLevel="0" collapsed="false">
      <c r="A1118" s="11" t="s">
        <v>1179</v>
      </c>
      <c r="B1118" s="20" t="n">
        <v>45946</v>
      </c>
      <c r="C1118" s="11" t="s">
        <v>22</v>
      </c>
      <c r="D1118" s="11" t="s">
        <v>35</v>
      </c>
      <c r="E1118" s="11" t="s">
        <v>55</v>
      </c>
      <c r="F1118" s="11" t="s">
        <v>45</v>
      </c>
      <c r="G1118" s="11" t="n">
        <v>4</v>
      </c>
      <c r="H1118" s="21" t="n">
        <v>150</v>
      </c>
      <c r="I1118" s="21" t="n">
        <v>82</v>
      </c>
      <c r="J1118" s="22" t="n">
        <v>0.15</v>
      </c>
      <c r="K1118" s="21" t="n">
        <f aca="false">G1118*H1118*(1-J1118)</f>
        <v>510</v>
      </c>
      <c r="L1118" s="21" t="n">
        <f aca="false">G1118*I1118</f>
        <v>328</v>
      </c>
      <c r="M1118" s="21" t="n">
        <f aca="false">K1118-L1118</f>
        <v>182</v>
      </c>
      <c r="N1118" s="11" t="str">
        <f aca="false">TEXT(B1118,"mmm")</f>
        <v>Oct</v>
      </c>
    </row>
    <row r="1119" customFormat="false" ht="15" hidden="false" customHeight="false" outlineLevel="0" collapsed="false">
      <c r="A1119" s="11" t="s">
        <v>1180</v>
      </c>
      <c r="B1119" s="20" t="n">
        <v>45946</v>
      </c>
      <c r="C1119" s="11" t="s">
        <v>20</v>
      </c>
      <c r="D1119" s="11" t="s">
        <v>37</v>
      </c>
      <c r="E1119" s="11" t="s">
        <v>49</v>
      </c>
      <c r="F1119" s="11" t="s">
        <v>42</v>
      </c>
      <c r="G1119" s="11" t="n">
        <v>29</v>
      </c>
      <c r="H1119" s="21" t="n">
        <v>28</v>
      </c>
      <c r="I1119" s="21" t="n">
        <v>17</v>
      </c>
      <c r="J1119" s="22" t="n">
        <v>0</v>
      </c>
      <c r="K1119" s="21" t="n">
        <f aca="false">G1119*H1119*(1-J1119)</f>
        <v>812</v>
      </c>
      <c r="L1119" s="21" t="n">
        <f aca="false">G1119*I1119</f>
        <v>493</v>
      </c>
      <c r="M1119" s="21" t="n">
        <f aca="false">K1119-L1119</f>
        <v>319</v>
      </c>
      <c r="N1119" s="11" t="str">
        <f aca="false">TEXT(B1119,"mmm")</f>
        <v>Oct</v>
      </c>
    </row>
    <row r="1120" customFormat="false" ht="15" hidden="false" customHeight="false" outlineLevel="0" collapsed="false">
      <c r="A1120" s="11" t="s">
        <v>1181</v>
      </c>
      <c r="B1120" s="20" t="n">
        <v>45948</v>
      </c>
      <c r="C1120" s="11" t="s">
        <v>20</v>
      </c>
      <c r="D1120" s="11" t="s">
        <v>37</v>
      </c>
      <c r="E1120" s="11" t="s">
        <v>52</v>
      </c>
      <c r="F1120" s="11" t="s">
        <v>44</v>
      </c>
      <c r="G1120" s="11" t="n">
        <v>19</v>
      </c>
      <c r="H1120" s="21" t="n">
        <v>12</v>
      </c>
      <c r="I1120" s="21" t="n">
        <v>6</v>
      </c>
      <c r="J1120" s="22" t="n">
        <v>0.05</v>
      </c>
      <c r="K1120" s="21" t="n">
        <f aca="false">G1120*H1120*(1-J1120)</f>
        <v>216.6</v>
      </c>
      <c r="L1120" s="21" t="n">
        <f aca="false">G1120*I1120</f>
        <v>114</v>
      </c>
      <c r="M1120" s="21" t="n">
        <f aca="false">K1120-L1120</f>
        <v>102.6</v>
      </c>
      <c r="N1120" s="11" t="str">
        <f aca="false">TEXT(B1120,"mmm")</f>
        <v>Oct</v>
      </c>
    </row>
    <row r="1121" customFormat="false" ht="15" hidden="false" customHeight="false" outlineLevel="0" collapsed="false">
      <c r="A1121" s="11" t="s">
        <v>1182</v>
      </c>
      <c r="B1121" s="20" t="n">
        <v>45948</v>
      </c>
      <c r="C1121" s="11" t="s">
        <v>18</v>
      </c>
      <c r="D1121" s="11" t="s">
        <v>35</v>
      </c>
      <c r="E1121" s="11" t="s">
        <v>56</v>
      </c>
      <c r="F1121" s="11" t="s">
        <v>44</v>
      </c>
      <c r="G1121" s="11" t="n">
        <v>1</v>
      </c>
      <c r="H1121" s="21" t="n">
        <v>110</v>
      </c>
      <c r="I1121" s="21" t="n">
        <v>62</v>
      </c>
      <c r="J1121" s="22" t="n">
        <v>0</v>
      </c>
      <c r="K1121" s="21" t="n">
        <f aca="false">G1121*H1121*(1-J1121)</f>
        <v>110</v>
      </c>
      <c r="L1121" s="21" t="n">
        <f aca="false">G1121*I1121</f>
        <v>62</v>
      </c>
      <c r="M1121" s="21" t="n">
        <f aca="false">K1121-L1121</f>
        <v>48</v>
      </c>
      <c r="N1121" s="11" t="str">
        <f aca="false">TEXT(B1121,"mmm")</f>
        <v>Oct</v>
      </c>
    </row>
    <row r="1122" customFormat="false" ht="15" hidden="false" customHeight="false" outlineLevel="0" collapsed="false">
      <c r="A1122" s="11" t="s">
        <v>1183</v>
      </c>
      <c r="B1122" s="20" t="n">
        <v>45948</v>
      </c>
      <c r="C1122" s="11" t="s">
        <v>18</v>
      </c>
      <c r="D1122" s="11" t="s">
        <v>37</v>
      </c>
      <c r="E1122" s="11" t="s">
        <v>49</v>
      </c>
      <c r="F1122" s="11" t="s">
        <v>42</v>
      </c>
      <c r="G1122" s="11" t="n">
        <v>3</v>
      </c>
      <c r="H1122" s="21" t="n">
        <v>28</v>
      </c>
      <c r="I1122" s="21" t="n">
        <v>17</v>
      </c>
      <c r="J1122" s="22" t="n">
        <v>0.1</v>
      </c>
      <c r="K1122" s="21" t="n">
        <f aca="false">G1122*H1122*(1-J1122)</f>
        <v>75.6</v>
      </c>
      <c r="L1122" s="21" t="n">
        <f aca="false">G1122*I1122</f>
        <v>51</v>
      </c>
      <c r="M1122" s="21" t="n">
        <f aca="false">K1122-L1122</f>
        <v>24.6</v>
      </c>
      <c r="N1122" s="11" t="str">
        <f aca="false">TEXT(B1122,"mmm")</f>
        <v>Oct</v>
      </c>
    </row>
    <row r="1123" customFormat="false" ht="15" hidden="false" customHeight="false" outlineLevel="0" collapsed="false">
      <c r="A1123" s="11" t="s">
        <v>1184</v>
      </c>
      <c r="B1123" s="20" t="n">
        <v>45949</v>
      </c>
      <c r="C1123" s="11" t="s">
        <v>20</v>
      </c>
      <c r="D1123" s="11" t="s">
        <v>33</v>
      </c>
      <c r="E1123" s="11" t="s">
        <v>51</v>
      </c>
      <c r="F1123" s="11" t="s">
        <v>42</v>
      </c>
      <c r="G1123" s="11" t="n">
        <v>4</v>
      </c>
      <c r="H1123" s="21" t="n">
        <v>90</v>
      </c>
      <c r="I1123" s="21" t="n">
        <v>58</v>
      </c>
      <c r="J1123" s="22" t="n">
        <v>0</v>
      </c>
      <c r="K1123" s="21" t="n">
        <f aca="false">G1123*H1123*(1-J1123)</f>
        <v>360</v>
      </c>
      <c r="L1123" s="21" t="n">
        <f aca="false">G1123*I1123</f>
        <v>232</v>
      </c>
      <c r="M1123" s="21" t="n">
        <f aca="false">K1123-L1123</f>
        <v>128</v>
      </c>
      <c r="N1123" s="11" t="str">
        <f aca="false">TEXT(B1123,"mmm")</f>
        <v>Oct</v>
      </c>
    </row>
    <row r="1124" customFormat="false" ht="15" hidden="false" customHeight="false" outlineLevel="0" collapsed="false">
      <c r="A1124" s="11" t="s">
        <v>1185</v>
      </c>
      <c r="B1124" s="20" t="n">
        <v>45949</v>
      </c>
      <c r="C1124" s="11" t="s">
        <v>20</v>
      </c>
      <c r="D1124" s="11" t="s">
        <v>37</v>
      </c>
      <c r="E1124" s="11" t="s">
        <v>49</v>
      </c>
      <c r="F1124" s="11" t="s">
        <v>45</v>
      </c>
      <c r="G1124" s="11" t="n">
        <v>78</v>
      </c>
      <c r="H1124" s="21" t="n">
        <v>28</v>
      </c>
      <c r="I1124" s="21" t="n">
        <v>17</v>
      </c>
      <c r="J1124" s="22" t="n">
        <v>0.15</v>
      </c>
      <c r="K1124" s="21" t="n">
        <f aca="false">G1124*H1124*(1-J1124)</f>
        <v>1856.4</v>
      </c>
      <c r="L1124" s="21" t="n">
        <f aca="false">G1124*I1124</f>
        <v>1326</v>
      </c>
      <c r="M1124" s="21" t="n">
        <f aca="false">K1124-L1124</f>
        <v>530.4</v>
      </c>
      <c r="N1124" s="11" t="str">
        <f aca="false">TEXT(B1124,"mmm")</f>
        <v>Oct</v>
      </c>
    </row>
    <row r="1125" customFormat="false" ht="15" hidden="false" customHeight="false" outlineLevel="0" collapsed="false">
      <c r="A1125" s="11" t="s">
        <v>1186</v>
      </c>
      <c r="B1125" s="20" t="n">
        <v>45951</v>
      </c>
      <c r="C1125" s="11" t="s">
        <v>20</v>
      </c>
      <c r="D1125" s="11" t="s">
        <v>37</v>
      </c>
      <c r="E1125" s="11" t="s">
        <v>53</v>
      </c>
      <c r="F1125" s="11" t="s">
        <v>42</v>
      </c>
      <c r="G1125" s="11" t="n">
        <v>26</v>
      </c>
      <c r="H1125" s="21" t="n">
        <v>9</v>
      </c>
      <c r="I1125" s="21" t="n">
        <v>4.5</v>
      </c>
      <c r="J1125" s="22" t="n">
        <v>0.05</v>
      </c>
      <c r="K1125" s="21" t="n">
        <f aca="false">G1125*H1125*(1-J1125)</f>
        <v>222.3</v>
      </c>
      <c r="L1125" s="21" t="n">
        <f aca="false">G1125*I1125</f>
        <v>117</v>
      </c>
      <c r="M1125" s="21" t="n">
        <f aca="false">K1125-L1125</f>
        <v>105.3</v>
      </c>
      <c r="N1125" s="11" t="str">
        <f aca="false">TEXT(B1125,"mmm")</f>
        <v>Oct</v>
      </c>
    </row>
    <row r="1126" customFormat="false" ht="15" hidden="false" customHeight="false" outlineLevel="0" collapsed="false">
      <c r="A1126" s="11" t="s">
        <v>1187</v>
      </c>
      <c r="B1126" s="20" t="n">
        <v>45951</v>
      </c>
      <c r="C1126" s="11" t="s">
        <v>20</v>
      </c>
      <c r="D1126" s="11" t="s">
        <v>35</v>
      </c>
      <c r="E1126" s="11" t="s">
        <v>55</v>
      </c>
      <c r="F1126" s="11" t="s">
        <v>44</v>
      </c>
      <c r="G1126" s="11" t="n">
        <v>2</v>
      </c>
      <c r="H1126" s="21" t="n">
        <v>150</v>
      </c>
      <c r="I1126" s="21" t="n">
        <v>82</v>
      </c>
      <c r="J1126" s="22" t="n">
        <v>0</v>
      </c>
      <c r="K1126" s="21" t="n">
        <f aca="false">G1126*H1126*(1-J1126)</f>
        <v>300</v>
      </c>
      <c r="L1126" s="21" t="n">
        <f aca="false">G1126*I1126</f>
        <v>164</v>
      </c>
      <c r="M1126" s="21" t="n">
        <f aca="false">K1126-L1126</f>
        <v>136</v>
      </c>
      <c r="N1126" s="11" t="str">
        <f aca="false">TEXT(B1126,"mmm")</f>
        <v>Oct</v>
      </c>
    </row>
    <row r="1127" customFormat="false" ht="15" hidden="false" customHeight="false" outlineLevel="0" collapsed="false">
      <c r="A1127" s="11" t="s">
        <v>1188</v>
      </c>
      <c r="B1127" s="20" t="n">
        <v>45951</v>
      </c>
      <c r="C1127" s="11" t="s">
        <v>24</v>
      </c>
      <c r="D1127" s="11" t="s">
        <v>33</v>
      </c>
      <c r="E1127" s="11" t="s">
        <v>51</v>
      </c>
      <c r="F1127" s="11" t="s">
        <v>42</v>
      </c>
      <c r="G1127" s="11" t="n">
        <v>3</v>
      </c>
      <c r="H1127" s="21" t="n">
        <v>90</v>
      </c>
      <c r="I1127" s="21" t="n">
        <v>58</v>
      </c>
      <c r="J1127" s="22" t="n">
        <v>0.05</v>
      </c>
      <c r="K1127" s="21" t="n">
        <f aca="false">G1127*H1127*(1-J1127)</f>
        <v>256.5</v>
      </c>
      <c r="L1127" s="21" t="n">
        <f aca="false">G1127*I1127</f>
        <v>174</v>
      </c>
      <c r="M1127" s="21" t="n">
        <f aca="false">K1127-L1127</f>
        <v>82.5</v>
      </c>
      <c r="N1127" s="11" t="str">
        <f aca="false">TEXT(B1127,"mmm")</f>
        <v>Oct</v>
      </c>
    </row>
    <row r="1128" customFormat="false" ht="15" hidden="false" customHeight="false" outlineLevel="0" collapsed="false">
      <c r="A1128" s="11" t="s">
        <v>1189</v>
      </c>
      <c r="B1128" s="20" t="n">
        <v>45952</v>
      </c>
      <c r="C1128" s="11" t="s">
        <v>24</v>
      </c>
      <c r="D1128" s="11" t="s">
        <v>33</v>
      </c>
      <c r="E1128" s="11" t="s">
        <v>48</v>
      </c>
      <c r="F1128" s="11" t="s">
        <v>44</v>
      </c>
      <c r="G1128" s="11" t="n">
        <v>1</v>
      </c>
      <c r="H1128" s="21" t="n">
        <v>520</v>
      </c>
      <c r="I1128" s="21" t="n">
        <v>415</v>
      </c>
      <c r="J1128" s="22" t="n">
        <v>0.05</v>
      </c>
      <c r="K1128" s="21" t="n">
        <f aca="false">G1128*H1128*(1-J1128)</f>
        <v>494</v>
      </c>
      <c r="L1128" s="21" t="n">
        <f aca="false">G1128*I1128</f>
        <v>415</v>
      </c>
      <c r="M1128" s="21" t="n">
        <f aca="false">K1128-L1128</f>
        <v>79</v>
      </c>
      <c r="N1128" s="11" t="str">
        <f aca="false">TEXT(B1128,"mmm")</f>
        <v>Oct</v>
      </c>
    </row>
    <row r="1129" customFormat="false" ht="15" hidden="false" customHeight="false" outlineLevel="0" collapsed="false">
      <c r="A1129" s="11" t="s">
        <v>1190</v>
      </c>
      <c r="B1129" s="20" t="n">
        <v>45952</v>
      </c>
      <c r="C1129" s="11" t="s">
        <v>24</v>
      </c>
      <c r="D1129" s="11" t="s">
        <v>33</v>
      </c>
      <c r="E1129" s="11" t="s">
        <v>48</v>
      </c>
      <c r="F1129" s="11" t="s">
        <v>45</v>
      </c>
      <c r="G1129" s="11" t="n">
        <v>2</v>
      </c>
      <c r="H1129" s="21" t="n">
        <v>520</v>
      </c>
      <c r="I1129" s="21" t="n">
        <v>415</v>
      </c>
      <c r="J1129" s="22" t="n">
        <v>0.2</v>
      </c>
      <c r="K1129" s="21" t="n">
        <f aca="false">G1129*H1129*(1-J1129)</f>
        <v>832</v>
      </c>
      <c r="L1129" s="21" t="n">
        <f aca="false">G1129*I1129</f>
        <v>830</v>
      </c>
      <c r="M1129" s="21" t="n">
        <f aca="false">K1129-L1129</f>
        <v>2</v>
      </c>
      <c r="N1129" s="11" t="str">
        <f aca="false">TEXT(B1129,"mmm")</f>
        <v>Oct</v>
      </c>
    </row>
    <row r="1130" customFormat="false" ht="15" hidden="false" customHeight="false" outlineLevel="0" collapsed="false">
      <c r="A1130" s="11" t="s">
        <v>1191</v>
      </c>
      <c r="B1130" s="20" t="n">
        <v>45953</v>
      </c>
      <c r="C1130" s="11" t="s">
        <v>18</v>
      </c>
      <c r="D1130" s="11" t="s">
        <v>37</v>
      </c>
      <c r="E1130" s="11" t="s">
        <v>53</v>
      </c>
      <c r="F1130" s="11" t="s">
        <v>42</v>
      </c>
      <c r="G1130" s="11" t="n">
        <v>24</v>
      </c>
      <c r="H1130" s="21" t="n">
        <v>9</v>
      </c>
      <c r="I1130" s="21" t="n">
        <v>4.5</v>
      </c>
      <c r="J1130" s="22" t="n">
        <v>0.05</v>
      </c>
      <c r="K1130" s="21" t="n">
        <f aca="false">G1130*H1130*(1-J1130)</f>
        <v>205.2</v>
      </c>
      <c r="L1130" s="21" t="n">
        <f aca="false">G1130*I1130</f>
        <v>108</v>
      </c>
      <c r="M1130" s="21" t="n">
        <f aca="false">K1130-L1130</f>
        <v>97.2</v>
      </c>
      <c r="N1130" s="11" t="str">
        <f aca="false">TEXT(B1130,"mmm")</f>
        <v>Oct</v>
      </c>
    </row>
    <row r="1131" customFormat="false" ht="15" hidden="false" customHeight="false" outlineLevel="0" collapsed="false">
      <c r="A1131" s="11" t="s">
        <v>1192</v>
      </c>
      <c r="B1131" s="20" t="n">
        <v>45953</v>
      </c>
      <c r="C1131" s="11" t="s">
        <v>22</v>
      </c>
      <c r="D1131" s="11" t="s">
        <v>35</v>
      </c>
      <c r="E1131" s="11" t="s">
        <v>55</v>
      </c>
      <c r="F1131" s="11" t="s">
        <v>42</v>
      </c>
      <c r="G1131" s="11" t="n">
        <v>3</v>
      </c>
      <c r="H1131" s="21" t="n">
        <v>150</v>
      </c>
      <c r="I1131" s="21" t="n">
        <v>82</v>
      </c>
      <c r="J1131" s="22" t="n">
        <v>0</v>
      </c>
      <c r="K1131" s="21" t="n">
        <f aca="false">G1131*H1131*(1-J1131)</f>
        <v>450</v>
      </c>
      <c r="L1131" s="21" t="n">
        <f aca="false">G1131*I1131</f>
        <v>246</v>
      </c>
      <c r="M1131" s="21" t="n">
        <f aca="false">K1131-L1131</f>
        <v>204</v>
      </c>
      <c r="N1131" s="11" t="str">
        <f aca="false">TEXT(B1131,"mmm")</f>
        <v>Oct</v>
      </c>
    </row>
    <row r="1132" customFormat="false" ht="15" hidden="false" customHeight="false" outlineLevel="0" collapsed="false">
      <c r="A1132" s="11" t="s">
        <v>1193</v>
      </c>
      <c r="B1132" s="20" t="n">
        <v>45953</v>
      </c>
      <c r="C1132" s="11" t="s">
        <v>22</v>
      </c>
      <c r="D1132" s="11" t="s">
        <v>37</v>
      </c>
      <c r="E1132" s="11" t="s">
        <v>49</v>
      </c>
      <c r="F1132" s="11" t="s">
        <v>44</v>
      </c>
      <c r="G1132" s="11" t="n">
        <v>19</v>
      </c>
      <c r="H1132" s="21" t="n">
        <v>28</v>
      </c>
      <c r="I1132" s="21" t="n">
        <v>17</v>
      </c>
      <c r="J1132" s="22" t="n">
        <v>0</v>
      </c>
      <c r="K1132" s="21" t="n">
        <f aca="false">G1132*H1132*(1-J1132)</f>
        <v>532</v>
      </c>
      <c r="L1132" s="21" t="n">
        <f aca="false">G1132*I1132</f>
        <v>323</v>
      </c>
      <c r="M1132" s="21" t="n">
        <f aca="false">K1132-L1132</f>
        <v>209</v>
      </c>
      <c r="N1132" s="11" t="str">
        <f aca="false">TEXT(B1132,"mmm")</f>
        <v>Oct</v>
      </c>
    </row>
    <row r="1133" customFormat="false" ht="15" hidden="false" customHeight="false" outlineLevel="0" collapsed="false">
      <c r="A1133" s="11" t="s">
        <v>1194</v>
      </c>
      <c r="B1133" s="20" t="n">
        <v>45953</v>
      </c>
      <c r="C1133" s="11" t="s">
        <v>24</v>
      </c>
      <c r="D1133" s="11" t="s">
        <v>37</v>
      </c>
      <c r="E1133" s="11" t="s">
        <v>53</v>
      </c>
      <c r="F1133" s="11" t="s">
        <v>42</v>
      </c>
      <c r="G1133" s="11" t="n">
        <v>21</v>
      </c>
      <c r="H1133" s="21" t="n">
        <v>9</v>
      </c>
      <c r="I1133" s="21" t="n">
        <v>4.5</v>
      </c>
      <c r="J1133" s="22" t="n">
        <v>0.05</v>
      </c>
      <c r="K1133" s="21" t="n">
        <f aca="false">G1133*H1133*(1-J1133)</f>
        <v>179.55</v>
      </c>
      <c r="L1133" s="21" t="n">
        <f aca="false">G1133*I1133</f>
        <v>94.5</v>
      </c>
      <c r="M1133" s="21" t="n">
        <f aca="false">K1133-L1133</f>
        <v>85.05</v>
      </c>
      <c r="N1133" s="11" t="str">
        <f aca="false">TEXT(B1133,"mmm")</f>
        <v>Oct</v>
      </c>
    </row>
    <row r="1134" customFormat="false" ht="15" hidden="false" customHeight="false" outlineLevel="0" collapsed="false">
      <c r="A1134" s="11" t="s">
        <v>1195</v>
      </c>
      <c r="B1134" s="20" t="n">
        <v>45953</v>
      </c>
      <c r="C1134" s="11" t="s">
        <v>24</v>
      </c>
      <c r="D1134" s="11" t="s">
        <v>37</v>
      </c>
      <c r="E1134" s="11" t="s">
        <v>49</v>
      </c>
      <c r="F1134" s="11" t="s">
        <v>44</v>
      </c>
      <c r="G1134" s="11" t="n">
        <v>38</v>
      </c>
      <c r="H1134" s="21" t="n">
        <v>28</v>
      </c>
      <c r="I1134" s="21" t="n">
        <v>17</v>
      </c>
      <c r="J1134" s="22" t="n">
        <v>0.05</v>
      </c>
      <c r="K1134" s="21" t="n">
        <f aca="false">G1134*H1134*(1-J1134)</f>
        <v>1010.8</v>
      </c>
      <c r="L1134" s="21" t="n">
        <f aca="false">G1134*I1134</f>
        <v>646</v>
      </c>
      <c r="M1134" s="21" t="n">
        <f aca="false">K1134-L1134</f>
        <v>364.8</v>
      </c>
      <c r="N1134" s="11" t="str">
        <f aca="false">TEXT(B1134,"mmm")</f>
        <v>Oct</v>
      </c>
    </row>
    <row r="1135" customFormat="false" ht="15" hidden="false" customHeight="false" outlineLevel="0" collapsed="false">
      <c r="A1135" s="11" t="s">
        <v>1196</v>
      </c>
      <c r="B1135" s="20" t="n">
        <v>45953</v>
      </c>
      <c r="C1135" s="11" t="s">
        <v>22</v>
      </c>
      <c r="D1135" s="11" t="s">
        <v>37</v>
      </c>
      <c r="E1135" s="11" t="s">
        <v>49</v>
      </c>
      <c r="F1135" s="11" t="s">
        <v>42</v>
      </c>
      <c r="G1135" s="11" t="n">
        <v>10</v>
      </c>
      <c r="H1135" s="21" t="n">
        <v>28</v>
      </c>
      <c r="I1135" s="21" t="n">
        <v>17</v>
      </c>
      <c r="J1135" s="22" t="n">
        <v>0</v>
      </c>
      <c r="K1135" s="21" t="n">
        <f aca="false">G1135*H1135*(1-J1135)</f>
        <v>280</v>
      </c>
      <c r="L1135" s="21" t="n">
        <f aca="false">G1135*I1135</f>
        <v>170</v>
      </c>
      <c r="M1135" s="21" t="n">
        <f aca="false">K1135-L1135</f>
        <v>110</v>
      </c>
      <c r="N1135" s="11" t="str">
        <f aca="false">TEXT(B1135,"mmm")</f>
        <v>Oct</v>
      </c>
    </row>
    <row r="1136" customFormat="false" ht="15" hidden="false" customHeight="false" outlineLevel="0" collapsed="false">
      <c r="A1136" s="11" t="s">
        <v>1197</v>
      </c>
      <c r="B1136" s="20" t="n">
        <v>45954</v>
      </c>
      <c r="C1136" s="11" t="s">
        <v>24</v>
      </c>
      <c r="D1136" s="11" t="s">
        <v>37</v>
      </c>
      <c r="E1136" s="11" t="s">
        <v>52</v>
      </c>
      <c r="F1136" s="11" t="s">
        <v>45</v>
      </c>
      <c r="G1136" s="11" t="n">
        <v>57</v>
      </c>
      <c r="H1136" s="21" t="n">
        <v>12</v>
      </c>
      <c r="I1136" s="21" t="n">
        <v>6</v>
      </c>
      <c r="J1136" s="22" t="n">
        <v>0.2</v>
      </c>
      <c r="K1136" s="21" t="n">
        <f aca="false">G1136*H1136*(1-J1136)</f>
        <v>547.2</v>
      </c>
      <c r="L1136" s="21" t="n">
        <f aca="false">G1136*I1136</f>
        <v>342</v>
      </c>
      <c r="M1136" s="21" t="n">
        <f aca="false">K1136-L1136</f>
        <v>205.2</v>
      </c>
      <c r="N1136" s="11" t="str">
        <f aca="false">TEXT(B1136,"mmm")</f>
        <v>Oct</v>
      </c>
    </row>
    <row r="1137" customFormat="false" ht="15" hidden="false" customHeight="false" outlineLevel="0" collapsed="false">
      <c r="A1137" s="11" t="s">
        <v>1198</v>
      </c>
      <c r="B1137" s="20" t="n">
        <v>45954</v>
      </c>
      <c r="C1137" s="11" t="s">
        <v>24</v>
      </c>
      <c r="D1137" s="11" t="s">
        <v>35</v>
      </c>
      <c r="E1137" s="11" t="s">
        <v>54</v>
      </c>
      <c r="F1137" s="11" t="s">
        <v>42</v>
      </c>
      <c r="G1137" s="11" t="n">
        <v>1</v>
      </c>
      <c r="H1137" s="21" t="n">
        <v>320</v>
      </c>
      <c r="I1137" s="21" t="n">
        <v>185</v>
      </c>
      <c r="J1137" s="22" t="n">
        <v>0.15</v>
      </c>
      <c r="K1137" s="21" t="n">
        <f aca="false">G1137*H1137*(1-J1137)</f>
        <v>272</v>
      </c>
      <c r="L1137" s="21" t="n">
        <f aca="false">G1137*I1137</f>
        <v>185</v>
      </c>
      <c r="M1137" s="21" t="n">
        <f aca="false">K1137-L1137</f>
        <v>87</v>
      </c>
      <c r="N1137" s="11" t="str">
        <f aca="false">TEXT(B1137,"mmm")</f>
        <v>Oct</v>
      </c>
    </row>
    <row r="1138" customFormat="false" ht="15" hidden="false" customHeight="false" outlineLevel="0" collapsed="false">
      <c r="A1138" s="11" t="s">
        <v>1199</v>
      </c>
      <c r="B1138" s="20" t="n">
        <v>45955</v>
      </c>
      <c r="C1138" s="11" t="s">
        <v>24</v>
      </c>
      <c r="D1138" s="11" t="s">
        <v>35</v>
      </c>
      <c r="E1138" s="11" t="s">
        <v>55</v>
      </c>
      <c r="F1138" s="11" t="s">
        <v>45</v>
      </c>
      <c r="G1138" s="11" t="n">
        <v>4</v>
      </c>
      <c r="H1138" s="21" t="n">
        <v>150</v>
      </c>
      <c r="I1138" s="21" t="n">
        <v>82</v>
      </c>
      <c r="J1138" s="22" t="n">
        <v>0.1</v>
      </c>
      <c r="K1138" s="21" t="n">
        <f aca="false">G1138*H1138*(1-J1138)</f>
        <v>540</v>
      </c>
      <c r="L1138" s="21" t="n">
        <f aca="false">G1138*I1138</f>
        <v>328</v>
      </c>
      <c r="M1138" s="21" t="n">
        <f aca="false">K1138-L1138</f>
        <v>212</v>
      </c>
      <c r="N1138" s="11" t="str">
        <f aca="false">TEXT(B1138,"mmm")</f>
        <v>Oct</v>
      </c>
    </row>
    <row r="1139" customFormat="false" ht="15" hidden="false" customHeight="false" outlineLevel="0" collapsed="false">
      <c r="A1139" s="11" t="s">
        <v>1200</v>
      </c>
      <c r="B1139" s="20" t="n">
        <v>45955</v>
      </c>
      <c r="C1139" s="11" t="s">
        <v>22</v>
      </c>
      <c r="D1139" s="11" t="s">
        <v>37</v>
      </c>
      <c r="E1139" s="11" t="s">
        <v>53</v>
      </c>
      <c r="F1139" s="11" t="s">
        <v>44</v>
      </c>
      <c r="G1139" s="11" t="n">
        <v>7</v>
      </c>
      <c r="H1139" s="21" t="n">
        <v>9</v>
      </c>
      <c r="I1139" s="21" t="n">
        <v>4.5</v>
      </c>
      <c r="J1139" s="22" t="n">
        <v>0.05</v>
      </c>
      <c r="K1139" s="21" t="n">
        <f aca="false">G1139*H1139*(1-J1139)</f>
        <v>59.85</v>
      </c>
      <c r="L1139" s="21" t="n">
        <f aca="false">G1139*I1139</f>
        <v>31.5</v>
      </c>
      <c r="M1139" s="21" t="n">
        <f aca="false">K1139-L1139</f>
        <v>28.35</v>
      </c>
      <c r="N1139" s="11" t="str">
        <f aca="false">TEXT(B1139,"mmm")</f>
        <v>Oct</v>
      </c>
    </row>
    <row r="1140" customFormat="false" ht="15" hidden="false" customHeight="false" outlineLevel="0" collapsed="false">
      <c r="A1140" s="11" t="s">
        <v>1201</v>
      </c>
      <c r="B1140" s="20" t="n">
        <v>45955</v>
      </c>
      <c r="C1140" s="11" t="s">
        <v>18</v>
      </c>
      <c r="D1140" s="11" t="s">
        <v>37</v>
      </c>
      <c r="E1140" s="11" t="s">
        <v>53</v>
      </c>
      <c r="F1140" s="11" t="s">
        <v>42</v>
      </c>
      <c r="G1140" s="11" t="n">
        <v>21</v>
      </c>
      <c r="H1140" s="21" t="n">
        <v>9</v>
      </c>
      <c r="I1140" s="21" t="n">
        <v>4.5</v>
      </c>
      <c r="J1140" s="22" t="n">
        <v>0.1</v>
      </c>
      <c r="K1140" s="21" t="n">
        <f aca="false">G1140*H1140*(1-J1140)</f>
        <v>170.1</v>
      </c>
      <c r="L1140" s="21" t="n">
        <f aca="false">G1140*I1140</f>
        <v>94.5</v>
      </c>
      <c r="M1140" s="21" t="n">
        <f aca="false">K1140-L1140</f>
        <v>75.6</v>
      </c>
      <c r="N1140" s="11" t="str">
        <f aca="false">TEXT(B1140,"mmm")</f>
        <v>Oct</v>
      </c>
    </row>
    <row r="1141" customFormat="false" ht="15" hidden="false" customHeight="false" outlineLevel="0" collapsed="false">
      <c r="A1141" s="11" t="s">
        <v>1202</v>
      </c>
      <c r="B1141" s="20" t="n">
        <v>45955</v>
      </c>
      <c r="C1141" s="11" t="s">
        <v>22</v>
      </c>
      <c r="D1141" s="11" t="s">
        <v>33</v>
      </c>
      <c r="E1141" s="11" t="s">
        <v>51</v>
      </c>
      <c r="F1141" s="11" t="s">
        <v>44</v>
      </c>
      <c r="G1141" s="11" t="n">
        <v>6</v>
      </c>
      <c r="H1141" s="21" t="n">
        <v>90</v>
      </c>
      <c r="I1141" s="21" t="n">
        <v>58</v>
      </c>
      <c r="J1141" s="22" t="n">
        <v>0.1</v>
      </c>
      <c r="K1141" s="21" t="n">
        <f aca="false">G1141*H1141*(1-J1141)</f>
        <v>486</v>
      </c>
      <c r="L1141" s="21" t="n">
        <f aca="false">G1141*I1141</f>
        <v>348</v>
      </c>
      <c r="M1141" s="21" t="n">
        <f aca="false">K1141-L1141</f>
        <v>138</v>
      </c>
      <c r="N1141" s="11" t="str">
        <f aca="false">TEXT(B1141,"mmm")</f>
        <v>Oct</v>
      </c>
    </row>
    <row r="1142" customFormat="false" ht="15" hidden="false" customHeight="false" outlineLevel="0" collapsed="false">
      <c r="A1142" s="11" t="s">
        <v>1203</v>
      </c>
      <c r="B1142" s="20" t="n">
        <v>45955</v>
      </c>
      <c r="C1142" s="11" t="s">
        <v>20</v>
      </c>
      <c r="D1142" s="11" t="s">
        <v>37</v>
      </c>
      <c r="E1142" s="11" t="s">
        <v>53</v>
      </c>
      <c r="F1142" s="11" t="s">
        <v>44</v>
      </c>
      <c r="G1142" s="11" t="n">
        <v>23</v>
      </c>
      <c r="H1142" s="21" t="n">
        <v>9</v>
      </c>
      <c r="I1142" s="21" t="n">
        <v>4.5</v>
      </c>
      <c r="J1142" s="22" t="n">
        <v>0</v>
      </c>
      <c r="K1142" s="21" t="n">
        <f aca="false">G1142*H1142*(1-J1142)</f>
        <v>207</v>
      </c>
      <c r="L1142" s="21" t="n">
        <f aca="false">G1142*I1142</f>
        <v>103.5</v>
      </c>
      <c r="M1142" s="21" t="n">
        <f aca="false">K1142-L1142</f>
        <v>103.5</v>
      </c>
      <c r="N1142" s="11" t="str">
        <f aca="false">TEXT(B1142,"mmm")</f>
        <v>Oct</v>
      </c>
    </row>
    <row r="1143" customFormat="false" ht="15" hidden="false" customHeight="false" outlineLevel="0" collapsed="false">
      <c r="A1143" s="11" t="s">
        <v>1204</v>
      </c>
      <c r="B1143" s="20" t="n">
        <v>45955</v>
      </c>
      <c r="C1143" s="11" t="s">
        <v>22</v>
      </c>
      <c r="D1143" s="11" t="s">
        <v>35</v>
      </c>
      <c r="E1143" s="11" t="s">
        <v>55</v>
      </c>
      <c r="F1143" s="11" t="s">
        <v>42</v>
      </c>
      <c r="G1143" s="11" t="n">
        <v>3</v>
      </c>
      <c r="H1143" s="21" t="n">
        <v>150</v>
      </c>
      <c r="I1143" s="21" t="n">
        <v>82</v>
      </c>
      <c r="J1143" s="22" t="n">
        <v>0.05</v>
      </c>
      <c r="K1143" s="21" t="n">
        <f aca="false">G1143*H1143*(1-J1143)</f>
        <v>427.5</v>
      </c>
      <c r="L1143" s="21" t="n">
        <f aca="false">G1143*I1143</f>
        <v>246</v>
      </c>
      <c r="M1143" s="21" t="n">
        <f aca="false">K1143-L1143</f>
        <v>181.5</v>
      </c>
      <c r="N1143" s="11" t="str">
        <f aca="false">TEXT(B1143,"mmm")</f>
        <v>Oct</v>
      </c>
    </row>
    <row r="1144" customFormat="false" ht="15" hidden="false" customHeight="false" outlineLevel="0" collapsed="false">
      <c r="A1144" s="11" t="s">
        <v>1205</v>
      </c>
      <c r="B1144" s="20" t="n">
        <v>45955</v>
      </c>
      <c r="C1144" s="11" t="s">
        <v>22</v>
      </c>
      <c r="D1144" s="11" t="s">
        <v>35</v>
      </c>
      <c r="E1144" s="11" t="s">
        <v>55</v>
      </c>
      <c r="F1144" s="11" t="s">
        <v>44</v>
      </c>
      <c r="G1144" s="11" t="n">
        <v>1</v>
      </c>
      <c r="H1144" s="21" t="n">
        <v>150</v>
      </c>
      <c r="I1144" s="21" t="n">
        <v>82</v>
      </c>
      <c r="J1144" s="22" t="n">
        <v>0.05</v>
      </c>
      <c r="K1144" s="21" t="n">
        <f aca="false">G1144*H1144*(1-J1144)</f>
        <v>142.5</v>
      </c>
      <c r="L1144" s="21" t="n">
        <f aca="false">G1144*I1144</f>
        <v>82</v>
      </c>
      <c r="M1144" s="21" t="n">
        <f aca="false">K1144-L1144</f>
        <v>60.5</v>
      </c>
      <c r="N1144" s="11" t="str">
        <f aca="false">TEXT(B1144,"mmm")</f>
        <v>Oct</v>
      </c>
    </row>
    <row r="1145" customFormat="false" ht="15" hidden="false" customHeight="false" outlineLevel="0" collapsed="false">
      <c r="A1145" s="11" t="s">
        <v>1206</v>
      </c>
      <c r="B1145" s="20" t="n">
        <v>45956</v>
      </c>
      <c r="C1145" s="11" t="s">
        <v>24</v>
      </c>
      <c r="D1145" s="11" t="s">
        <v>33</v>
      </c>
      <c r="E1145" s="11" t="s">
        <v>51</v>
      </c>
      <c r="F1145" s="11" t="s">
        <v>42</v>
      </c>
      <c r="G1145" s="11" t="n">
        <v>4</v>
      </c>
      <c r="H1145" s="21" t="n">
        <v>90</v>
      </c>
      <c r="I1145" s="21" t="n">
        <v>58</v>
      </c>
      <c r="J1145" s="22" t="n">
        <v>0</v>
      </c>
      <c r="K1145" s="21" t="n">
        <f aca="false">G1145*H1145*(1-J1145)</f>
        <v>360</v>
      </c>
      <c r="L1145" s="21" t="n">
        <f aca="false">G1145*I1145</f>
        <v>232</v>
      </c>
      <c r="M1145" s="21" t="n">
        <f aca="false">K1145-L1145</f>
        <v>128</v>
      </c>
      <c r="N1145" s="11" t="str">
        <f aca="false">TEXT(B1145,"mmm")</f>
        <v>Oct</v>
      </c>
    </row>
    <row r="1146" customFormat="false" ht="15" hidden="false" customHeight="false" outlineLevel="0" collapsed="false">
      <c r="A1146" s="11" t="s">
        <v>1207</v>
      </c>
      <c r="B1146" s="20" t="n">
        <v>45956</v>
      </c>
      <c r="C1146" s="11" t="s">
        <v>24</v>
      </c>
      <c r="D1146" s="11" t="s">
        <v>37</v>
      </c>
      <c r="E1146" s="11" t="s">
        <v>53</v>
      </c>
      <c r="F1146" s="11" t="s">
        <v>42</v>
      </c>
      <c r="G1146" s="11" t="n">
        <v>34</v>
      </c>
      <c r="H1146" s="21" t="n">
        <v>9</v>
      </c>
      <c r="I1146" s="21" t="n">
        <v>4.5</v>
      </c>
      <c r="J1146" s="22" t="n">
        <v>0</v>
      </c>
      <c r="K1146" s="21" t="n">
        <f aca="false">G1146*H1146*(1-J1146)</f>
        <v>306</v>
      </c>
      <c r="L1146" s="21" t="n">
        <f aca="false">G1146*I1146</f>
        <v>153</v>
      </c>
      <c r="M1146" s="21" t="n">
        <f aca="false">K1146-L1146</f>
        <v>153</v>
      </c>
      <c r="N1146" s="11" t="str">
        <f aca="false">TEXT(B1146,"mmm")</f>
        <v>Oct</v>
      </c>
    </row>
    <row r="1147" customFormat="false" ht="15" hidden="false" customHeight="false" outlineLevel="0" collapsed="false">
      <c r="A1147" s="11" t="s">
        <v>1208</v>
      </c>
      <c r="B1147" s="20" t="n">
        <v>45956</v>
      </c>
      <c r="C1147" s="11" t="s">
        <v>24</v>
      </c>
      <c r="D1147" s="11" t="s">
        <v>35</v>
      </c>
      <c r="E1147" s="11" t="s">
        <v>56</v>
      </c>
      <c r="F1147" s="11" t="s">
        <v>44</v>
      </c>
      <c r="G1147" s="11" t="n">
        <v>3</v>
      </c>
      <c r="H1147" s="21" t="n">
        <v>110</v>
      </c>
      <c r="I1147" s="21" t="n">
        <v>62</v>
      </c>
      <c r="J1147" s="22" t="n">
        <v>0</v>
      </c>
      <c r="K1147" s="21" t="n">
        <f aca="false">G1147*H1147*(1-J1147)</f>
        <v>330</v>
      </c>
      <c r="L1147" s="21" t="n">
        <f aca="false">G1147*I1147</f>
        <v>186</v>
      </c>
      <c r="M1147" s="21" t="n">
        <f aca="false">K1147-L1147</f>
        <v>144</v>
      </c>
      <c r="N1147" s="11" t="str">
        <f aca="false">TEXT(B1147,"mmm")</f>
        <v>Oct</v>
      </c>
    </row>
    <row r="1148" customFormat="false" ht="15" hidden="false" customHeight="false" outlineLevel="0" collapsed="false">
      <c r="A1148" s="11" t="s">
        <v>1209</v>
      </c>
      <c r="B1148" s="20" t="n">
        <v>45956</v>
      </c>
      <c r="C1148" s="11" t="s">
        <v>22</v>
      </c>
      <c r="D1148" s="11" t="s">
        <v>37</v>
      </c>
      <c r="E1148" s="11" t="s">
        <v>52</v>
      </c>
      <c r="F1148" s="11" t="s">
        <v>44</v>
      </c>
      <c r="G1148" s="11" t="n">
        <v>35</v>
      </c>
      <c r="H1148" s="21" t="n">
        <v>12</v>
      </c>
      <c r="I1148" s="21" t="n">
        <v>6</v>
      </c>
      <c r="J1148" s="22" t="n">
        <v>0</v>
      </c>
      <c r="K1148" s="21" t="n">
        <f aca="false">G1148*H1148*(1-J1148)</f>
        <v>420</v>
      </c>
      <c r="L1148" s="21" t="n">
        <f aca="false">G1148*I1148</f>
        <v>210</v>
      </c>
      <c r="M1148" s="21" t="n">
        <f aca="false">K1148-L1148</f>
        <v>210</v>
      </c>
      <c r="N1148" s="11" t="str">
        <f aca="false">TEXT(B1148,"mmm")</f>
        <v>Oct</v>
      </c>
    </row>
    <row r="1149" customFormat="false" ht="15" hidden="false" customHeight="false" outlineLevel="0" collapsed="false">
      <c r="A1149" s="11" t="s">
        <v>1210</v>
      </c>
      <c r="B1149" s="20" t="n">
        <v>45956</v>
      </c>
      <c r="C1149" s="11" t="s">
        <v>18</v>
      </c>
      <c r="D1149" s="11" t="s">
        <v>33</v>
      </c>
      <c r="E1149" s="11" t="s">
        <v>50</v>
      </c>
      <c r="F1149" s="11" t="s">
        <v>42</v>
      </c>
      <c r="G1149" s="11" t="n">
        <v>1</v>
      </c>
      <c r="H1149" s="21" t="n">
        <v>780</v>
      </c>
      <c r="I1149" s="21" t="n">
        <v>600</v>
      </c>
      <c r="J1149" s="22" t="n">
        <v>0</v>
      </c>
      <c r="K1149" s="21" t="n">
        <f aca="false">G1149*H1149*(1-J1149)</f>
        <v>780</v>
      </c>
      <c r="L1149" s="21" t="n">
        <f aca="false">G1149*I1149</f>
        <v>600</v>
      </c>
      <c r="M1149" s="21" t="n">
        <f aca="false">K1149-L1149</f>
        <v>180</v>
      </c>
      <c r="N1149" s="11" t="str">
        <f aca="false">TEXT(B1149,"mmm")</f>
        <v>Oct</v>
      </c>
    </row>
    <row r="1150" customFormat="false" ht="15" hidden="false" customHeight="false" outlineLevel="0" collapsed="false">
      <c r="A1150" s="11" t="s">
        <v>1211</v>
      </c>
      <c r="B1150" s="20" t="n">
        <v>45956</v>
      </c>
      <c r="C1150" s="11" t="s">
        <v>24</v>
      </c>
      <c r="D1150" s="11" t="s">
        <v>37</v>
      </c>
      <c r="E1150" s="11" t="s">
        <v>53</v>
      </c>
      <c r="F1150" s="11" t="s">
        <v>44</v>
      </c>
      <c r="G1150" s="11" t="n">
        <v>9</v>
      </c>
      <c r="H1150" s="21" t="n">
        <v>9</v>
      </c>
      <c r="I1150" s="21" t="n">
        <v>4.5</v>
      </c>
      <c r="J1150" s="22" t="n">
        <v>0</v>
      </c>
      <c r="K1150" s="21" t="n">
        <f aca="false">G1150*H1150*(1-J1150)</f>
        <v>81</v>
      </c>
      <c r="L1150" s="21" t="n">
        <f aca="false">G1150*I1150</f>
        <v>40.5</v>
      </c>
      <c r="M1150" s="21" t="n">
        <f aca="false">K1150-L1150</f>
        <v>40.5</v>
      </c>
      <c r="N1150" s="11" t="str">
        <f aca="false">TEXT(B1150,"mmm")</f>
        <v>Oct</v>
      </c>
    </row>
    <row r="1151" customFormat="false" ht="15" hidden="false" customHeight="false" outlineLevel="0" collapsed="false">
      <c r="A1151" s="11" t="s">
        <v>1212</v>
      </c>
      <c r="B1151" s="20" t="n">
        <v>45957</v>
      </c>
      <c r="C1151" s="11" t="s">
        <v>20</v>
      </c>
      <c r="D1151" s="11" t="s">
        <v>37</v>
      </c>
      <c r="E1151" s="11" t="s">
        <v>53</v>
      </c>
      <c r="F1151" s="11" t="s">
        <v>44</v>
      </c>
      <c r="G1151" s="11" t="n">
        <v>3</v>
      </c>
      <c r="H1151" s="21" t="n">
        <v>9</v>
      </c>
      <c r="I1151" s="21" t="n">
        <v>4.5</v>
      </c>
      <c r="J1151" s="22" t="n">
        <v>0.1</v>
      </c>
      <c r="K1151" s="21" t="n">
        <f aca="false">G1151*H1151*(1-J1151)</f>
        <v>24.3</v>
      </c>
      <c r="L1151" s="21" t="n">
        <f aca="false">G1151*I1151</f>
        <v>13.5</v>
      </c>
      <c r="M1151" s="21" t="n">
        <f aca="false">K1151-L1151</f>
        <v>10.8</v>
      </c>
      <c r="N1151" s="11" t="str">
        <f aca="false">TEXT(B1151,"mmm")</f>
        <v>Oct</v>
      </c>
    </row>
    <row r="1152" customFormat="false" ht="15" hidden="false" customHeight="false" outlineLevel="0" collapsed="false">
      <c r="A1152" s="11" t="s">
        <v>1213</v>
      </c>
      <c r="B1152" s="20" t="n">
        <v>45957</v>
      </c>
      <c r="C1152" s="11" t="s">
        <v>20</v>
      </c>
      <c r="D1152" s="11" t="s">
        <v>33</v>
      </c>
      <c r="E1152" s="11" t="s">
        <v>48</v>
      </c>
      <c r="F1152" s="11" t="s">
        <v>42</v>
      </c>
      <c r="G1152" s="11" t="n">
        <v>3</v>
      </c>
      <c r="H1152" s="21" t="n">
        <v>520</v>
      </c>
      <c r="I1152" s="21" t="n">
        <v>415</v>
      </c>
      <c r="J1152" s="22" t="n">
        <v>0</v>
      </c>
      <c r="K1152" s="21" t="n">
        <f aca="false">G1152*H1152*(1-J1152)</f>
        <v>1560</v>
      </c>
      <c r="L1152" s="21" t="n">
        <f aca="false">G1152*I1152</f>
        <v>1245</v>
      </c>
      <c r="M1152" s="21" t="n">
        <f aca="false">K1152-L1152</f>
        <v>315</v>
      </c>
      <c r="N1152" s="11" t="str">
        <f aca="false">TEXT(B1152,"mmm")</f>
        <v>Oct</v>
      </c>
    </row>
    <row r="1153" customFormat="false" ht="15" hidden="false" customHeight="false" outlineLevel="0" collapsed="false">
      <c r="A1153" s="11" t="s">
        <v>1214</v>
      </c>
      <c r="B1153" s="20" t="n">
        <v>45957</v>
      </c>
      <c r="C1153" s="11" t="s">
        <v>24</v>
      </c>
      <c r="D1153" s="11" t="s">
        <v>37</v>
      </c>
      <c r="E1153" s="11" t="s">
        <v>52</v>
      </c>
      <c r="F1153" s="11" t="s">
        <v>44</v>
      </c>
      <c r="G1153" s="11" t="n">
        <v>28</v>
      </c>
      <c r="H1153" s="21" t="n">
        <v>12</v>
      </c>
      <c r="I1153" s="21" t="n">
        <v>6</v>
      </c>
      <c r="J1153" s="22" t="n">
        <v>0.1</v>
      </c>
      <c r="K1153" s="21" t="n">
        <f aca="false">G1153*H1153*(1-J1153)</f>
        <v>302.4</v>
      </c>
      <c r="L1153" s="21" t="n">
        <f aca="false">G1153*I1153</f>
        <v>168</v>
      </c>
      <c r="M1153" s="21" t="n">
        <f aca="false">K1153-L1153</f>
        <v>134.4</v>
      </c>
      <c r="N1153" s="11" t="str">
        <f aca="false">TEXT(B1153,"mmm")</f>
        <v>Oct</v>
      </c>
    </row>
    <row r="1154" customFormat="false" ht="15" hidden="false" customHeight="false" outlineLevel="0" collapsed="false">
      <c r="A1154" s="11" t="s">
        <v>1215</v>
      </c>
      <c r="B1154" s="20" t="n">
        <v>45957</v>
      </c>
      <c r="C1154" s="11" t="s">
        <v>24</v>
      </c>
      <c r="D1154" s="11" t="s">
        <v>37</v>
      </c>
      <c r="E1154" s="11" t="s">
        <v>52</v>
      </c>
      <c r="F1154" s="11" t="s">
        <v>45</v>
      </c>
      <c r="G1154" s="11" t="n">
        <v>9</v>
      </c>
      <c r="H1154" s="21" t="n">
        <v>12</v>
      </c>
      <c r="I1154" s="21" t="n">
        <v>6</v>
      </c>
      <c r="J1154" s="22" t="n">
        <v>0.15</v>
      </c>
      <c r="K1154" s="21" t="n">
        <f aca="false">G1154*H1154*(1-J1154)</f>
        <v>91.8</v>
      </c>
      <c r="L1154" s="21" t="n">
        <f aca="false">G1154*I1154</f>
        <v>54</v>
      </c>
      <c r="M1154" s="21" t="n">
        <f aca="false">K1154-L1154</f>
        <v>37.8</v>
      </c>
      <c r="N1154" s="11" t="str">
        <f aca="false">TEXT(B1154,"mmm")</f>
        <v>Oct</v>
      </c>
    </row>
    <row r="1155" customFormat="false" ht="15" hidden="false" customHeight="false" outlineLevel="0" collapsed="false">
      <c r="A1155" s="11" t="s">
        <v>1216</v>
      </c>
      <c r="B1155" s="20" t="n">
        <v>45958</v>
      </c>
      <c r="C1155" s="11" t="s">
        <v>20</v>
      </c>
      <c r="D1155" s="11" t="s">
        <v>37</v>
      </c>
      <c r="E1155" s="11" t="s">
        <v>49</v>
      </c>
      <c r="F1155" s="11" t="s">
        <v>44</v>
      </c>
      <c r="G1155" s="11" t="n">
        <v>14</v>
      </c>
      <c r="H1155" s="21" t="n">
        <v>28</v>
      </c>
      <c r="I1155" s="21" t="n">
        <v>17</v>
      </c>
      <c r="J1155" s="22" t="n">
        <v>0</v>
      </c>
      <c r="K1155" s="21" t="n">
        <f aca="false">G1155*H1155*(1-J1155)</f>
        <v>392</v>
      </c>
      <c r="L1155" s="21" t="n">
        <f aca="false">G1155*I1155</f>
        <v>238</v>
      </c>
      <c r="M1155" s="21" t="n">
        <f aca="false">K1155-L1155</f>
        <v>154</v>
      </c>
      <c r="N1155" s="11" t="str">
        <f aca="false">TEXT(B1155,"mmm")</f>
        <v>Oct</v>
      </c>
    </row>
    <row r="1156" customFormat="false" ht="15" hidden="false" customHeight="false" outlineLevel="0" collapsed="false">
      <c r="A1156" s="11" t="s">
        <v>1217</v>
      </c>
      <c r="B1156" s="20" t="n">
        <v>45958</v>
      </c>
      <c r="C1156" s="11" t="s">
        <v>20</v>
      </c>
      <c r="D1156" s="11" t="s">
        <v>33</v>
      </c>
      <c r="E1156" s="11" t="s">
        <v>51</v>
      </c>
      <c r="F1156" s="11" t="s">
        <v>42</v>
      </c>
      <c r="G1156" s="11" t="n">
        <v>6</v>
      </c>
      <c r="H1156" s="21" t="n">
        <v>90</v>
      </c>
      <c r="I1156" s="21" t="n">
        <v>58</v>
      </c>
      <c r="J1156" s="22" t="n">
        <v>0.15</v>
      </c>
      <c r="K1156" s="21" t="n">
        <f aca="false">G1156*H1156*(1-J1156)</f>
        <v>459</v>
      </c>
      <c r="L1156" s="21" t="n">
        <f aca="false">G1156*I1156</f>
        <v>348</v>
      </c>
      <c r="M1156" s="21" t="n">
        <f aca="false">K1156-L1156</f>
        <v>111</v>
      </c>
      <c r="N1156" s="11" t="str">
        <f aca="false">TEXT(B1156,"mmm")</f>
        <v>Oct</v>
      </c>
    </row>
    <row r="1157" customFormat="false" ht="15" hidden="false" customHeight="false" outlineLevel="0" collapsed="false">
      <c r="A1157" s="11" t="s">
        <v>1218</v>
      </c>
      <c r="B1157" s="20" t="n">
        <v>45962</v>
      </c>
      <c r="C1157" s="11" t="s">
        <v>22</v>
      </c>
      <c r="D1157" s="11" t="s">
        <v>35</v>
      </c>
      <c r="E1157" s="11" t="s">
        <v>54</v>
      </c>
      <c r="F1157" s="11" t="s">
        <v>42</v>
      </c>
      <c r="G1157" s="11" t="n">
        <v>2</v>
      </c>
      <c r="H1157" s="21" t="n">
        <v>320</v>
      </c>
      <c r="I1157" s="21" t="n">
        <v>185</v>
      </c>
      <c r="J1157" s="22" t="n">
        <v>0</v>
      </c>
      <c r="K1157" s="21" t="n">
        <f aca="false">G1157*H1157*(1-J1157)</f>
        <v>640</v>
      </c>
      <c r="L1157" s="21" t="n">
        <f aca="false">G1157*I1157</f>
        <v>370</v>
      </c>
      <c r="M1157" s="21" t="n">
        <f aca="false">K1157-L1157</f>
        <v>270</v>
      </c>
      <c r="N1157" s="11" t="str">
        <f aca="false">TEXT(B1157,"mmm")</f>
        <v>Nov</v>
      </c>
    </row>
    <row r="1158" customFormat="false" ht="15" hidden="false" customHeight="false" outlineLevel="0" collapsed="false">
      <c r="A1158" s="11" t="s">
        <v>1219</v>
      </c>
      <c r="B1158" s="20" t="n">
        <v>45962</v>
      </c>
      <c r="C1158" s="11" t="s">
        <v>22</v>
      </c>
      <c r="D1158" s="11" t="s">
        <v>35</v>
      </c>
      <c r="E1158" s="11" t="s">
        <v>54</v>
      </c>
      <c r="F1158" s="11" t="s">
        <v>44</v>
      </c>
      <c r="G1158" s="11" t="n">
        <v>1</v>
      </c>
      <c r="H1158" s="21" t="n">
        <v>320</v>
      </c>
      <c r="I1158" s="21" t="n">
        <v>185</v>
      </c>
      <c r="J1158" s="22" t="n">
        <v>0.05</v>
      </c>
      <c r="K1158" s="21" t="n">
        <f aca="false">G1158*H1158*(1-J1158)</f>
        <v>304</v>
      </c>
      <c r="L1158" s="21" t="n">
        <f aca="false">G1158*I1158</f>
        <v>185</v>
      </c>
      <c r="M1158" s="21" t="n">
        <f aca="false">K1158-L1158</f>
        <v>119</v>
      </c>
      <c r="N1158" s="11" t="str">
        <f aca="false">TEXT(B1158,"mmm")</f>
        <v>Nov</v>
      </c>
    </row>
    <row r="1159" customFormat="false" ht="15" hidden="false" customHeight="false" outlineLevel="0" collapsed="false">
      <c r="A1159" s="11" t="s">
        <v>1220</v>
      </c>
      <c r="B1159" s="20" t="n">
        <v>45962</v>
      </c>
      <c r="C1159" s="11" t="s">
        <v>18</v>
      </c>
      <c r="D1159" s="11" t="s">
        <v>35</v>
      </c>
      <c r="E1159" s="11" t="s">
        <v>55</v>
      </c>
      <c r="F1159" s="11" t="s">
        <v>42</v>
      </c>
      <c r="G1159" s="11" t="n">
        <v>3</v>
      </c>
      <c r="H1159" s="21" t="n">
        <v>150</v>
      </c>
      <c r="I1159" s="21" t="n">
        <v>82</v>
      </c>
      <c r="J1159" s="22" t="n">
        <v>0.05</v>
      </c>
      <c r="K1159" s="21" t="n">
        <f aca="false">G1159*H1159*(1-J1159)</f>
        <v>427.5</v>
      </c>
      <c r="L1159" s="21" t="n">
        <f aca="false">G1159*I1159</f>
        <v>246</v>
      </c>
      <c r="M1159" s="21" t="n">
        <f aca="false">K1159-L1159</f>
        <v>181.5</v>
      </c>
      <c r="N1159" s="11" t="str">
        <f aca="false">TEXT(B1159,"mmm")</f>
        <v>Nov</v>
      </c>
    </row>
    <row r="1160" customFormat="false" ht="15" hidden="false" customHeight="false" outlineLevel="0" collapsed="false">
      <c r="A1160" s="11" t="s">
        <v>1221</v>
      </c>
      <c r="B1160" s="20" t="n">
        <v>45962</v>
      </c>
      <c r="C1160" s="11" t="s">
        <v>22</v>
      </c>
      <c r="D1160" s="11" t="s">
        <v>35</v>
      </c>
      <c r="E1160" s="11" t="s">
        <v>54</v>
      </c>
      <c r="F1160" s="11" t="s">
        <v>44</v>
      </c>
      <c r="G1160" s="11" t="n">
        <v>1</v>
      </c>
      <c r="H1160" s="21" t="n">
        <v>320</v>
      </c>
      <c r="I1160" s="21" t="n">
        <v>185</v>
      </c>
      <c r="J1160" s="22" t="n">
        <v>0</v>
      </c>
      <c r="K1160" s="21" t="n">
        <f aca="false">G1160*H1160*(1-J1160)</f>
        <v>320</v>
      </c>
      <c r="L1160" s="21" t="n">
        <f aca="false">G1160*I1160</f>
        <v>185</v>
      </c>
      <c r="M1160" s="21" t="n">
        <f aca="false">K1160-L1160</f>
        <v>135</v>
      </c>
      <c r="N1160" s="11" t="str">
        <f aca="false">TEXT(B1160,"mmm")</f>
        <v>Nov</v>
      </c>
    </row>
    <row r="1161" customFormat="false" ht="15" hidden="false" customHeight="false" outlineLevel="0" collapsed="false">
      <c r="A1161" s="11" t="s">
        <v>1222</v>
      </c>
      <c r="B1161" s="20" t="n">
        <v>45962</v>
      </c>
      <c r="C1161" s="11" t="s">
        <v>20</v>
      </c>
      <c r="D1161" s="11" t="s">
        <v>33</v>
      </c>
      <c r="E1161" s="11" t="s">
        <v>48</v>
      </c>
      <c r="F1161" s="11" t="s">
        <v>44</v>
      </c>
      <c r="G1161" s="11" t="n">
        <v>2</v>
      </c>
      <c r="H1161" s="21" t="n">
        <v>520</v>
      </c>
      <c r="I1161" s="21" t="n">
        <v>415</v>
      </c>
      <c r="J1161" s="22" t="n">
        <v>0.1</v>
      </c>
      <c r="K1161" s="21" t="n">
        <f aca="false">G1161*H1161*(1-J1161)</f>
        <v>936</v>
      </c>
      <c r="L1161" s="21" t="n">
        <f aca="false">G1161*I1161</f>
        <v>830</v>
      </c>
      <c r="M1161" s="21" t="n">
        <f aca="false">K1161-L1161</f>
        <v>106</v>
      </c>
      <c r="N1161" s="11" t="str">
        <f aca="false">TEXT(B1161,"mmm")</f>
        <v>Nov</v>
      </c>
    </row>
    <row r="1162" customFormat="false" ht="15" hidden="false" customHeight="false" outlineLevel="0" collapsed="false">
      <c r="A1162" s="11" t="s">
        <v>1223</v>
      </c>
      <c r="B1162" s="20" t="n">
        <v>45962</v>
      </c>
      <c r="C1162" s="11" t="s">
        <v>24</v>
      </c>
      <c r="D1162" s="11" t="s">
        <v>37</v>
      </c>
      <c r="E1162" s="11" t="s">
        <v>52</v>
      </c>
      <c r="F1162" s="11" t="s">
        <v>44</v>
      </c>
      <c r="G1162" s="11" t="n">
        <v>39</v>
      </c>
      <c r="H1162" s="21" t="n">
        <v>12</v>
      </c>
      <c r="I1162" s="21" t="n">
        <v>6</v>
      </c>
      <c r="J1162" s="22" t="n">
        <v>0</v>
      </c>
      <c r="K1162" s="21" t="n">
        <f aca="false">G1162*H1162*(1-J1162)</f>
        <v>468</v>
      </c>
      <c r="L1162" s="21" t="n">
        <f aca="false">G1162*I1162</f>
        <v>234</v>
      </c>
      <c r="M1162" s="21" t="n">
        <f aca="false">K1162-L1162</f>
        <v>234</v>
      </c>
      <c r="N1162" s="11" t="str">
        <f aca="false">TEXT(B1162,"mmm")</f>
        <v>Nov</v>
      </c>
    </row>
    <row r="1163" customFormat="false" ht="15" hidden="false" customHeight="false" outlineLevel="0" collapsed="false">
      <c r="A1163" s="11" t="s">
        <v>1224</v>
      </c>
      <c r="B1163" s="20" t="n">
        <v>45962</v>
      </c>
      <c r="C1163" s="11" t="s">
        <v>20</v>
      </c>
      <c r="D1163" s="11" t="s">
        <v>37</v>
      </c>
      <c r="E1163" s="11" t="s">
        <v>52</v>
      </c>
      <c r="F1163" s="11" t="s">
        <v>44</v>
      </c>
      <c r="G1163" s="11" t="n">
        <v>9</v>
      </c>
      <c r="H1163" s="21" t="n">
        <v>12</v>
      </c>
      <c r="I1163" s="21" t="n">
        <v>6</v>
      </c>
      <c r="J1163" s="22" t="n">
        <v>0</v>
      </c>
      <c r="K1163" s="21" t="n">
        <f aca="false">G1163*H1163*(1-J1163)</f>
        <v>108</v>
      </c>
      <c r="L1163" s="21" t="n">
        <f aca="false">G1163*I1163</f>
        <v>54</v>
      </c>
      <c r="M1163" s="21" t="n">
        <f aca="false">K1163-L1163</f>
        <v>54</v>
      </c>
      <c r="N1163" s="11" t="str">
        <f aca="false">TEXT(B1163,"mmm")</f>
        <v>Nov</v>
      </c>
    </row>
    <row r="1164" customFormat="false" ht="15" hidden="false" customHeight="false" outlineLevel="0" collapsed="false">
      <c r="A1164" s="11" t="s">
        <v>1225</v>
      </c>
      <c r="B1164" s="20" t="n">
        <v>45962</v>
      </c>
      <c r="C1164" s="11" t="s">
        <v>22</v>
      </c>
      <c r="D1164" s="11" t="s">
        <v>37</v>
      </c>
      <c r="E1164" s="11" t="s">
        <v>53</v>
      </c>
      <c r="F1164" s="11" t="s">
        <v>45</v>
      </c>
      <c r="G1164" s="11" t="n">
        <v>63</v>
      </c>
      <c r="H1164" s="21" t="n">
        <v>9</v>
      </c>
      <c r="I1164" s="21" t="n">
        <v>4.5</v>
      </c>
      <c r="J1164" s="22" t="n">
        <v>0.15</v>
      </c>
      <c r="K1164" s="21" t="n">
        <f aca="false">G1164*H1164*(1-J1164)</f>
        <v>481.95</v>
      </c>
      <c r="L1164" s="21" t="n">
        <f aca="false">G1164*I1164</f>
        <v>283.5</v>
      </c>
      <c r="M1164" s="21" t="n">
        <f aca="false">K1164-L1164</f>
        <v>198.45</v>
      </c>
      <c r="N1164" s="11" t="str">
        <f aca="false">TEXT(B1164,"mmm")</f>
        <v>Nov</v>
      </c>
    </row>
    <row r="1165" customFormat="false" ht="15" hidden="false" customHeight="false" outlineLevel="0" collapsed="false">
      <c r="A1165" s="11" t="s">
        <v>1226</v>
      </c>
      <c r="B1165" s="20" t="n">
        <v>45962</v>
      </c>
      <c r="C1165" s="11" t="s">
        <v>24</v>
      </c>
      <c r="D1165" s="11" t="s">
        <v>37</v>
      </c>
      <c r="E1165" s="11" t="s">
        <v>52</v>
      </c>
      <c r="F1165" s="11" t="s">
        <v>42</v>
      </c>
      <c r="G1165" s="11" t="n">
        <v>22</v>
      </c>
      <c r="H1165" s="21" t="n">
        <v>12</v>
      </c>
      <c r="I1165" s="21" t="n">
        <v>6</v>
      </c>
      <c r="J1165" s="22" t="n">
        <v>0.15</v>
      </c>
      <c r="K1165" s="21" t="n">
        <f aca="false">G1165*H1165*(1-J1165)</f>
        <v>224.4</v>
      </c>
      <c r="L1165" s="21" t="n">
        <f aca="false">G1165*I1165</f>
        <v>132</v>
      </c>
      <c r="M1165" s="21" t="n">
        <f aca="false">K1165-L1165</f>
        <v>92.4</v>
      </c>
      <c r="N1165" s="11" t="str">
        <f aca="false">TEXT(B1165,"mmm")</f>
        <v>Nov</v>
      </c>
    </row>
    <row r="1166" customFormat="false" ht="15" hidden="false" customHeight="false" outlineLevel="0" collapsed="false">
      <c r="A1166" s="11" t="s">
        <v>1227</v>
      </c>
      <c r="B1166" s="20" t="n">
        <v>45963</v>
      </c>
      <c r="C1166" s="11" t="s">
        <v>18</v>
      </c>
      <c r="D1166" s="11" t="s">
        <v>35</v>
      </c>
      <c r="E1166" s="11" t="s">
        <v>56</v>
      </c>
      <c r="F1166" s="11" t="s">
        <v>44</v>
      </c>
      <c r="G1166" s="11" t="n">
        <v>1</v>
      </c>
      <c r="H1166" s="21" t="n">
        <v>110</v>
      </c>
      <c r="I1166" s="21" t="n">
        <v>62</v>
      </c>
      <c r="J1166" s="22" t="n">
        <v>0.1</v>
      </c>
      <c r="K1166" s="21" t="n">
        <f aca="false">G1166*H1166*(1-J1166)</f>
        <v>99</v>
      </c>
      <c r="L1166" s="21" t="n">
        <f aca="false">G1166*I1166</f>
        <v>62</v>
      </c>
      <c r="M1166" s="21" t="n">
        <f aca="false">K1166-L1166</f>
        <v>37</v>
      </c>
      <c r="N1166" s="11" t="str">
        <f aca="false">TEXT(B1166,"mmm")</f>
        <v>Nov</v>
      </c>
    </row>
    <row r="1167" customFormat="false" ht="15" hidden="false" customHeight="false" outlineLevel="0" collapsed="false">
      <c r="A1167" s="11" t="s">
        <v>1228</v>
      </c>
      <c r="B1167" s="20" t="n">
        <v>45963</v>
      </c>
      <c r="C1167" s="11" t="s">
        <v>22</v>
      </c>
      <c r="D1167" s="11" t="s">
        <v>37</v>
      </c>
      <c r="E1167" s="11" t="s">
        <v>49</v>
      </c>
      <c r="F1167" s="11" t="s">
        <v>45</v>
      </c>
      <c r="G1167" s="11" t="n">
        <v>63</v>
      </c>
      <c r="H1167" s="21" t="n">
        <v>28</v>
      </c>
      <c r="I1167" s="21" t="n">
        <v>17</v>
      </c>
      <c r="J1167" s="22" t="n">
        <v>0.15</v>
      </c>
      <c r="K1167" s="21" t="n">
        <f aca="false">G1167*H1167*(1-J1167)</f>
        <v>1499.4</v>
      </c>
      <c r="L1167" s="21" t="n">
        <f aca="false">G1167*I1167</f>
        <v>1071</v>
      </c>
      <c r="M1167" s="21" t="n">
        <f aca="false">K1167-L1167</f>
        <v>428.4</v>
      </c>
      <c r="N1167" s="11" t="str">
        <f aca="false">TEXT(B1167,"mmm")</f>
        <v>Nov</v>
      </c>
    </row>
    <row r="1168" customFormat="false" ht="15" hidden="false" customHeight="false" outlineLevel="0" collapsed="false">
      <c r="A1168" s="11" t="s">
        <v>1229</v>
      </c>
      <c r="B1168" s="20" t="n">
        <v>45963</v>
      </c>
      <c r="C1168" s="11" t="s">
        <v>18</v>
      </c>
      <c r="D1168" s="11" t="s">
        <v>37</v>
      </c>
      <c r="E1168" s="11" t="s">
        <v>53</v>
      </c>
      <c r="F1168" s="11" t="s">
        <v>42</v>
      </c>
      <c r="G1168" s="11" t="n">
        <v>40</v>
      </c>
      <c r="H1168" s="21" t="n">
        <v>9</v>
      </c>
      <c r="I1168" s="21" t="n">
        <v>4.5</v>
      </c>
      <c r="J1168" s="22" t="n">
        <v>0.15</v>
      </c>
      <c r="K1168" s="21" t="n">
        <f aca="false">G1168*H1168*(1-J1168)</f>
        <v>306</v>
      </c>
      <c r="L1168" s="21" t="n">
        <f aca="false">G1168*I1168</f>
        <v>180</v>
      </c>
      <c r="M1168" s="21" t="n">
        <f aca="false">K1168-L1168</f>
        <v>126</v>
      </c>
      <c r="N1168" s="11" t="str">
        <f aca="false">TEXT(B1168,"mmm")</f>
        <v>Nov</v>
      </c>
    </row>
    <row r="1169" customFormat="false" ht="15" hidden="false" customHeight="false" outlineLevel="0" collapsed="false">
      <c r="A1169" s="11" t="s">
        <v>1230</v>
      </c>
      <c r="B1169" s="20" t="n">
        <v>45963</v>
      </c>
      <c r="C1169" s="11" t="s">
        <v>20</v>
      </c>
      <c r="D1169" s="11" t="s">
        <v>33</v>
      </c>
      <c r="E1169" s="11" t="s">
        <v>50</v>
      </c>
      <c r="F1169" s="11" t="s">
        <v>44</v>
      </c>
      <c r="G1169" s="11" t="n">
        <v>3</v>
      </c>
      <c r="H1169" s="21" t="n">
        <v>780</v>
      </c>
      <c r="I1169" s="21" t="n">
        <v>600</v>
      </c>
      <c r="J1169" s="22" t="n">
        <v>0</v>
      </c>
      <c r="K1169" s="21" t="n">
        <f aca="false">G1169*H1169*(1-J1169)</f>
        <v>2340</v>
      </c>
      <c r="L1169" s="21" t="n">
        <f aca="false">G1169*I1169</f>
        <v>1800</v>
      </c>
      <c r="M1169" s="21" t="n">
        <f aca="false">K1169-L1169</f>
        <v>540</v>
      </c>
      <c r="N1169" s="11" t="str">
        <f aca="false">TEXT(B1169,"mmm")</f>
        <v>Nov</v>
      </c>
    </row>
    <row r="1170" customFormat="false" ht="15" hidden="false" customHeight="false" outlineLevel="0" collapsed="false">
      <c r="A1170" s="11" t="s">
        <v>1231</v>
      </c>
      <c r="B1170" s="20" t="n">
        <v>45963</v>
      </c>
      <c r="C1170" s="11" t="s">
        <v>18</v>
      </c>
      <c r="D1170" s="11" t="s">
        <v>33</v>
      </c>
      <c r="E1170" s="11" t="s">
        <v>51</v>
      </c>
      <c r="F1170" s="11" t="s">
        <v>42</v>
      </c>
      <c r="G1170" s="11" t="n">
        <v>3</v>
      </c>
      <c r="H1170" s="21" t="n">
        <v>90</v>
      </c>
      <c r="I1170" s="21" t="n">
        <v>58</v>
      </c>
      <c r="J1170" s="22" t="n">
        <v>0.1</v>
      </c>
      <c r="K1170" s="21" t="n">
        <f aca="false">G1170*H1170*(1-J1170)</f>
        <v>243</v>
      </c>
      <c r="L1170" s="21" t="n">
        <f aca="false">G1170*I1170</f>
        <v>174</v>
      </c>
      <c r="M1170" s="21" t="n">
        <f aca="false">K1170-L1170</f>
        <v>69</v>
      </c>
      <c r="N1170" s="11" t="str">
        <f aca="false">TEXT(B1170,"mmm")</f>
        <v>Nov</v>
      </c>
    </row>
    <row r="1171" customFormat="false" ht="15" hidden="false" customHeight="false" outlineLevel="0" collapsed="false">
      <c r="A1171" s="11" t="s">
        <v>1232</v>
      </c>
      <c r="B1171" s="20" t="n">
        <v>45964</v>
      </c>
      <c r="C1171" s="11" t="s">
        <v>22</v>
      </c>
      <c r="D1171" s="11" t="s">
        <v>33</v>
      </c>
      <c r="E1171" s="11" t="s">
        <v>50</v>
      </c>
      <c r="F1171" s="11" t="s">
        <v>45</v>
      </c>
      <c r="G1171" s="11" t="n">
        <v>2</v>
      </c>
      <c r="H1171" s="21" t="n">
        <v>780</v>
      </c>
      <c r="I1171" s="21" t="n">
        <v>600</v>
      </c>
      <c r="J1171" s="22" t="n">
        <v>0.2</v>
      </c>
      <c r="K1171" s="21" t="n">
        <f aca="false">G1171*H1171*(1-J1171)</f>
        <v>1248</v>
      </c>
      <c r="L1171" s="21" t="n">
        <f aca="false">G1171*I1171</f>
        <v>1200</v>
      </c>
      <c r="M1171" s="21" t="n">
        <f aca="false">K1171-L1171</f>
        <v>48</v>
      </c>
      <c r="N1171" s="11" t="str">
        <f aca="false">TEXT(B1171,"mmm")</f>
        <v>Nov</v>
      </c>
    </row>
    <row r="1172" customFormat="false" ht="15" hidden="false" customHeight="false" outlineLevel="0" collapsed="false">
      <c r="A1172" s="11" t="s">
        <v>1233</v>
      </c>
      <c r="B1172" s="20" t="n">
        <v>45964</v>
      </c>
      <c r="C1172" s="11" t="s">
        <v>20</v>
      </c>
      <c r="D1172" s="11" t="s">
        <v>35</v>
      </c>
      <c r="E1172" s="11" t="s">
        <v>54</v>
      </c>
      <c r="F1172" s="11" t="s">
        <v>44</v>
      </c>
      <c r="G1172" s="11" t="n">
        <v>2</v>
      </c>
      <c r="H1172" s="21" t="n">
        <v>320</v>
      </c>
      <c r="I1172" s="21" t="n">
        <v>185</v>
      </c>
      <c r="J1172" s="22" t="n">
        <v>0.1</v>
      </c>
      <c r="K1172" s="21" t="n">
        <f aca="false">G1172*H1172*(1-J1172)</f>
        <v>576</v>
      </c>
      <c r="L1172" s="21" t="n">
        <f aca="false">G1172*I1172</f>
        <v>370</v>
      </c>
      <c r="M1172" s="21" t="n">
        <f aca="false">K1172-L1172</f>
        <v>206</v>
      </c>
      <c r="N1172" s="11" t="str">
        <f aca="false">TEXT(B1172,"mmm")</f>
        <v>Nov</v>
      </c>
    </row>
    <row r="1173" customFormat="false" ht="15" hidden="false" customHeight="false" outlineLevel="0" collapsed="false">
      <c r="A1173" s="11" t="s">
        <v>1234</v>
      </c>
      <c r="B1173" s="20" t="n">
        <v>45964</v>
      </c>
      <c r="C1173" s="11" t="s">
        <v>24</v>
      </c>
      <c r="D1173" s="11" t="s">
        <v>37</v>
      </c>
      <c r="E1173" s="11" t="s">
        <v>52</v>
      </c>
      <c r="F1173" s="11" t="s">
        <v>44</v>
      </c>
      <c r="G1173" s="11" t="n">
        <v>27</v>
      </c>
      <c r="H1173" s="21" t="n">
        <v>12</v>
      </c>
      <c r="I1173" s="21" t="n">
        <v>6</v>
      </c>
      <c r="J1173" s="22" t="n">
        <v>0</v>
      </c>
      <c r="K1173" s="21" t="n">
        <f aca="false">G1173*H1173*(1-J1173)</f>
        <v>324</v>
      </c>
      <c r="L1173" s="21" t="n">
        <f aca="false">G1173*I1173</f>
        <v>162</v>
      </c>
      <c r="M1173" s="21" t="n">
        <f aca="false">K1173-L1173</f>
        <v>162</v>
      </c>
      <c r="N1173" s="11" t="str">
        <f aca="false">TEXT(B1173,"mmm")</f>
        <v>Nov</v>
      </c>
    </row>
    <row r="1174" customFormat="false" ht="15" hidden="false" customHeight="false" outlineLevel="0" collapsed="false">
      <c r="A1174" s="11" t="s">
        <v>1235</v>
      </c>
      <c r="B1174" s="20" t="n">
        <v>45964</v>
      </c>
      <c r="C1174" s="11" t="s">
        <v>18</v>
      </c>
      <c r="D1174" s="11" t="s">
        <v>35</v>
      </c>
      <c r="E1174" s="11" t="s">
        <v>54</v>
      </c>
      <c r="F1174" s="11" t="s">
        <v>42</v>
      </c>
      <c r="G1174" s="11" t="n">
        <v>2</v>
      </c>
      <c r="H1174" s="21" t="n">
        <v>320</v>
      </c>
      <c r="I1174" s="21" t="n">
        <v>185</v>
      </c>
      <c r="J1174" s="22" t="n">
        <v>0.15</v>
      </c>
      <c r="K1174" s="21" t="n">
        <f aca="false">G1174*H1174*(1-J1174)</f>
        <v>544</v>
      </c>
      <c r="L1174" s="21" t="n">
        <f aca="false">G1174*I1174</f>
        <v>370</v>
      </c>
      <c r="M1174" s="21" t="n">
        <f aca="false">K1174-L1174</f>
        <v>174</v>
      </c>
      <c r="N1174" s="11" t="str">
        <f aca="false">TEXT(B1174,"mmm")</f>
        <v>Nov</v>
      </c>
    </row>
    <row r="1175" customFormat="false" ht="15" hidden="false" customHeight="false" outlineLevel="0" collapsed="false">
      <c r="A1175" s="11" t="s">
        <v>1236</v>
      </c>
      <c r="B1175" s="20" t="n">
        <v>45964</v>
      </c>
      <c r="C1175" s="11" t="s">
        <v>22</v>
      </c>
      <c r="D1175" s="11" t="s">
        <v>33</v>
      </c>
      <c r="E1175" s="11" t="s">
        <v>51</v>
      </c>
      <c r="F1175" s="11" t="s">
        <v>42</v>
      </c>
      <c r="G1175" s="11" t="n">
        <v>2</v>
      </c>
      <c r="H1175" s="21" t="n">
        <v>90</v>
      </c>
      <c r="I1175" s="21" t="n">
        <v>58</v>
      </c>
      <c r="J1175" s="22" t="n">
        <v>0.05</v>
      </c>
      <c r="K1175" s="21" t="n">
        <f aca="false">G1175*H1175*(1-J1175)</f>
        <v>171</v>
      </c>
      <c r="L1175" s="21" t="n">
        <f aca="false">G1175*I1175</f>
        <v>116</v>
      </c>
      <c r="M1175" s="21" t="n">
        <f aca="false">K1175-L1175</f>
        <v>55</v>
      </c>
      <c r="N1175" s="11" t="str">
        <f aca="false">TEXT(B1175,"mmm")</f>
        <v>Nov</v>
      </c>
    </row>
    <row r="1176" customFormat="false" ht="15" hidden="false" customHeight="false" outlineLevel="0" collapsed="false">
      <c r="A1176" s="11" t="s">
        <v>1237</v>
      </c>
      <c r="B1176" s="20" t="n">
        <v>45964</v>
      </c>
      <c r="C1176" s="11" t="s">
        <v>20</v>
      </c>
      <c r="D1176" s="11" t="s">
        <v>37</v>
      </c>
      <c r="E1176" s="11" t="s">
        <v>53</v>
      </c>
      <c r="F1176" s="11" t="s">
        <v>42</v>
      </c>
      <c r="G1176" s="11" t="n">
        <v>17</v>
      </c>
      <c r="H1176" s="21" t="n">
        <v>9</v>
      </c>
      <c r="I1176" s="21" t="n">
        <v>4.5</v>
      </c>
      <c r="J1176" s="22" t="n">
        <v>0.1</v>
      </c>
      <c r="K1176" s="21" t="n">
        <f aca="false">G1176*H1176*(1-J1176)</f>
        <v>137.7</v>
      </c>
      <c r="L1176" s="21" t="n">
        <f aca="false">G1176*I1176</f>
        <v>76.5</v>
      </c>
      <c r="M1176" s="21" t="n">
        <f aca="false">K1176-L1176</f>
        <v>61.2</v>
      </c>
      <c r="N1176" s="11" t="str">
        <f aca="false">TEXT(B1176,"mmm")</f>
        <v>Nov</v>
      </c>
    </row>
    <row r="1177" customFormat="false" ht="15" hidden="false" customHeight="false" outlineLevel="0" collapsed="false">
      <c r="A1177" s="11" t="s">
        <v>1238</v>
      </c>
      <c r="B1177" s="20" t="n">
        <v>45964</v>
      </c>
      <c r="C1177" s="11" t="s">
        <v>18</v>
      </c>
      <c r="D1177" s="11" t="s">
        <v>35</v>
      </c>
      <c r="E1177" s="11" t="s">
        <v>54</v>
      </c>
      <c r="F1177" s="11" t="s">
        <v>44</v>
      </c>
      <c r="G1177" s="11" t="n">
        <v>1</v>
      </c>
      <c r="H1177" s="21" t="n">
        <v>320</v>
      </c>
      <c r="I1177" s="21" t="n">
        <v>185</v>
      </c>
      <c r="J1177" s="22" t="n">
        <v>0</v>
      </c>
      <c r="K1177" s="21" t="n">
        <f aca="false">G1177*H1177*(1-J1177)</f>
        <v>320</v>
      </c>
      <c r="L1177" s="21" t="n">
        <f aca="false">G1177*I1177</f>
        <v>185</v>
      </c>
      <c r="M1177" s="21" t="n">
        <f aca="false">K1177-L1177</f>
        <v>135</v>
      </c>
      <c r="N1177" s="11" t="str">
        <f aca="false">TEXT(B1177,"mmm")</f>
        <v>Nov</v>
      </c>
    </row>
    <row r="1178" customFormat="false" ht="15" hidden="false" customHeight="false" outlineLevel="0" collapsed="false">
      <c r="A1178" s="11" t="s">
        <v>1239</v>
      </c>
      <c r="B1178" s="20" t="n">
        <v>45965</v>
      </c>
      <c r="C1178" s="11" t="s">
        <v>20</v>
      </c>
      <c r="D1178" s="11" t="s">
        <v>35</v>
      </c>
      <c r="E1178" s="11" t="s">
        <v>56</v>
      </c>
      <c r="F1178" s="11" t="s">
        <v>42</v>
      </c>
      <c r="G1178" s="11" t="n">
        <v>2</v>
      </c>
      <c r="H1178" s="21" t="n">
        <v>110</v>
      </c>
      <c r="I1178" s="21" t="n">
        <v>62</v>
      </c>
      <c r="J1178" s="22" t="n">
        <v>0.1</v>
      </c>
      <c r="K1178" s="21" t="n">
        <f aca="false">G1178*H1178*(1-J1178)</f>
        <v>198</v>
      </c>
      <c r="L1178" s="21" t="n">
        <f aca="false">G1178*I1178</f>
        <v>124</v>
      </c>
      <c r="M1178" s="21" t="n">
        <f aca="false">K1178-L1178</f>
        <v>74</v>
      </c>
      <c r="N1178" s="11" t="str">
        <f aca="false">TEXT(B1178,"mmm")</f>
        <v>Nov</v>
      </c>
    </row>
    <row r="1179" customFormat="false" ht="15" hidden="false" customHeight="false" outlineLevel="0" collapsed="false">
      <c r="A1179" s="11" t="s">
        <v>1240</v>
      </c>
      <c r="B1179" s="20" t="n">
        <v>45965</v>
      </c>
      <c r="C1179" s="11" t="s">
        <v>22</v>
      </c>
      <c r="D1179" s="11" t="s">
        <v>33</v>
      </c>
      <c r="E1179" s="11" t="s">
        <v>48</v>
      </c>
      <c r="F1179" s="11" t="s">
        <v>42</v>
      </c>
      <c r="G1179" s="11" t="n">
        <v>1</v>
      </c>
      <c r="H1179" s="21" t="n">
        <v>520</v>
      </c>
      <c r="I1179" s="21" t="n">
        <v>415</v>
      </c>
      <c r="J1179" s="22" t="n">
        <v>0</v>
      </c>
      <c r="K1179" s="21" t="n">
        <f aca="false">G1179*H1179*(1-J1179)</f>
        <v>520</v>
      </c>
      <c r="L1179" s="21" t="n">
        <f aca="false">G1179*I1179</f>
        <v>415</v>
      </c>
      <c r="M1179" s="21" t="n">
        <f aca="false">K1179-L1179</f>
        <v>105</v>
      </c>
      <c r="N1179" s="11" t="str">
        <f aca="false">TEXT(B1179,"mmm")</f>
        <v>Nov</v>
      </c>
    </row>
    <row r="1180" customFormat="false" ht="15" hidden="false" customHeight="false" outlineLevel="0" collapsed="false">
      <c r="A1180" s="11" t="s">
        <v>1241</v>
      </c>
      <c r="B1180" s="20" t="n">
        <v>45965</v>
      </c>
      <c r="C1180" s="11" t="s">
        <v>22</v>
      </c>
      <c r="D1180" s="11" t="s">
        <v>33</v>
      </c>
      <c r="E1180" s="11" t="s">
        <v>50</v>
      </c>
      <c r="F1180" s="11" t="s">
        <v>42</v>
      </c>
      <c r="G1180" s="11" t="n">
        <v>1</v>
      </c>
      <c r="H1180" s="21" t="n">
        <v>780</v>
      </c>
      <c r="I1180" s="21" t="n">
        <v>600</v>
      </c>
      <c r="J1180" s="22" t="n">
        <v>0.05</v>
      </c>
      <c r="K1180" s="21" t="n">
        <f aca="false">G1180*H1180*(1-J1180)</f>
        <v>741</v>
      </c>
      <c r="L1180" s="21" t="n">
        <f aca="false">G1180*I1180</f>
        <v>600</v>
      </c>
      <c r="M1180" s="21" t="n">
        <f aca="false">K1180-L1180</f>
        <v>141</v>
      </c>
      <c r="N1180" s="11" t="str">
        <f aca="false">TEXT(B1180,"mmm")</f>
        <v>Nov</v>
      </c>
    </row>
    <row r="1181" customFormat="false" ht="15" hidden="false" customHeight="false" outlineLevel="0" collapsed="false">
      <c r="A1181" s="11" t="s">
        <v>1242</v>
      </c>
      <c r="B1181" s="20" t="n">
        <v>45965</v>
      </c>
      <c r="C1181" s="11" t="s">
        <v>24</v>
      </c>
      <c r="D1181" s="11" t="s">
        <v>33</v>
      </c>
      <c r="E1181" s="11" t="s">
        <v>51</v>
      </c>
      <c r="F1181" s="11" t="s">
        <v>45</v>
      </c>
      <c r="G1181" s="11" t="n">
        <v>18</v>
      </c>
      <c r="H1181" s="21" t="n">
        <v>90</v>
      </c>
      <c r="I1181" s="21" t="n">
        <v>58</v>
      </c>
      <c r="J1181" s="22" t="n">
        <v>0.2</v>
      </c>
      <c r="K1181" s="21" t="n">
        <f aca="false">G1181*H1181*(1-J1181)</f>
        <v>1296</v>
      </c>
      <c r="L1181" s="21" t="n">
        <f aca="false">G1181*I1181</f>
        <v>1044</v>
      </c>
      <c r="M1181" s="21" t="n">
        <f aca="false">K1181-L1181</f>
        <v>252</v>
      </c>
      <c r="N1181" s="11" t="str">
        <f aca="false">TEXT(B1181,"mmm")</f>
        <v>Nov</v>
      </c>
    </row>
    <row r="1182" customFormat="false" ht="15" hidden="false" customHeight="false" outlineLevel="0" collapsed="false">
      <c r="A1182" s="11" t="s">
        <v>1243</v>
      </c>
      <c r="B1182" s="20" t="n">
        <v>45965</v>
      </c>
      <c r="C1182" s="11" t="s">
        <v>24</v>
      </c>
      <c r="D1182" s="11" t="s">
        <v>35</v>
      </c>
      <c r="E1182" s="11" t="s">
        <v>55</v>
      </c>
      <c r="F1182" s="11" t="s">
        <v>44</v>
      </c>
      <c r="G1182" s="11" t="n">
        <v>4</v>
      </c>
      <c r="H1182" s="21" t="n">
        <v>150</v>
      </c>
      <c r="I1182" s="21" t="n">
        <v>82</v>
      </c>
      <c r="J1182" s="22" t="n">
        <v>0</v>
      </c>
      <c r="K1182" s="21" t="n">
        <f aca="false">G1182*H1182*(1-J1182)</f>
        <v>600</v>
      </c>
      <c r="L1182" s="21" t="n">
        <f aca="false">G1182*I1182</f>
        <v>328</v>
      </c>
      <c r="M1182" s="21" t="n">
        <f aca="false">K1182-L1182</f>
        <v>272</v>
      </c>
      <c r="N1182" s="11" t="str">
        <f aca="false">TEXT(B1182,"mmm")</f>
        <v>Nov</v>
      </c>
    </row>
    <row r="1183" customFormat="false" ht="15" hidden="false" customHeight="false" outlineLevel="0" collapsed="false">
      <c r="A1183" s="11" t="s">
        <v>1244</v>
      </c>
      <c r="B1183" s="20" t="n">
        <v>45965</v>
      </c>
      <c r="C1183" s="11" t="s">
        <v>20</v>
      </c>
      <c r="D1183" s="11" t="s">
        <v>37</v>
      </c>
      <c r="E1183" s="11" t="s">
        <v>49</v>
      </c>
      <c r="F1183" s="11" t="s">
        <v>42</v>
      </c>
      <c r="G1183" s="11" t="n">
        <v>7</v>
      </c>
      <c r="H1183" s="21" t="n">
        <v>28</v>
      </c>
      <c r="I1183" s="21" t="n">
        <v>17</v>
      </c>
      <c r="J1183" s="22" t="n">
        <v>0</v>
      </c>
      <c r="K1183" s="21" t="n">
        <f aca="false">G1183*H1183*(1-J1183)</f>
        <v>196</v>
      </c>
      <c r="L1183" s="21" t="n">
        <f aca="false">G1183*I1183</f>
        <v>119</v>
      </c>
      <c r="M1183" s="21" t="n">
        <f aca="false">K1183-L1183</f>
        <v>77</v>
      </c>
      <c r="N1183" s="11" t="str">
        <f aca="false">TEXT(B1183,"mmm")</f>
        <v>Nov</v>
      </c>
    </row>
    <row r="1184" customFormat="false" ht="15" hidden="false" customHeight="false" outlineLevel="0" collapsed="false">
      <c r="A1184" s="11" t="s">
        <v>1245</v>
      </c>
      <c r="B1184" s="20" t="n">
        <v>45965</v>
      </c>
      <c r="C1184" s="11" t="s">
        <v>18</v>
      </c>
      <c r="D1184" s="11" t="s">
        <v>35</v>
      </c>
      <c r="E1184" s="11" t="s">
        <v>55</v>
      </c>
      <c r="F1184" s="11" t="s">
        <v>44</v>
      </c>
      <c r="G1184" s="11" t="n">
        <v>1</v>
      </c>
      <c r="H1184" s="21" t="n">
        <v>150</v>
      </c>
      <c r="I1184" s="21" t="n">
        <v>82</v>
      </c>
      <c r="J1184" s="22" t="n">
        <v>0</v>
      </c>
      <c r="K1184" s="21" t="n">
        <f aca="false">G1184*H1184*(1-J1184)</f>
        <v>150</v>
      </c>
      <c r="L1184" s="21" t="n">
        <f aca="false">G1184*I1184</f>
        <v>82</v>
      </c>
      <c r="M1184" s="21" t="n">
        <f aca="false">K1184-L1184</f>
        <v>68</v>
      </c>
      <c r="N1184" s="11" t="str">
        <f aca="false">TEXT(B1184,"mmm")</f>
        <v>Nov</v>
      </c>
    </row>
    <row r="1185" customFormat="false" ht="15" hidden="false" customHeight="false" outlineLevel="0" collapsed="false">
      <c r="A1185" s="11" t="s">
        <v>1246</v>
      </c>
      <c r="B1185" s="20" t="n">
        <v>45965</v>
      </c>
      <c r="C1185" s="11" t="s">
        <v>18</v>
      </c>
      <c r="D1185" s="11" t="s">
        <v>37</v>
      </c>
      <c r="E1185" s="11" t="s">
        <v>53</v>
      </c>
      <c r="F1185" s="11" t="s">
        <v>42</v>
      </c>
      <c r="G1185" s="11" t="n">
        <v>7</v>
      </c>
      <c r="H1185" s="21" t="n">
        <v>9</v>
      </c>
      <c r="I1185" s="21" t="n">
        <v>4.5</v>
      </c>
      <c r="J1185" s="22" t="n">
        <v>0.05</v>
      </c>
      <c r="K1185" s="21" t="n">
        <f aca="false">G1185*H1185*(1-J1185)</f>
        <v>59.85</v>
      </c>
      <c r="L1185" s="21" t="n">
        <f aca="false">G1185*I1185</f>
        <v>31.5</v>
      </c>
      <c r="M1185" s="21" t="n">
        <f aca="false">K1185-L1185</f>
        <v>28.35</v>
      </c>
      <c r="N1185" s="11" t="str">
        <f aca="false">TEXT(B1185,"mmm")</f>
        <v>Nov</v>
      </c>
    </row>
    <row r="1186" customFormat="false" ht="15" hidden="false" customHeight="false" outlineLevel="0" collapsed="false">
      <c r="A1186" s="11" t="s">
        <v>1247</v>
      </c>
      <c r="B1186" s="20" t="n">
        <v>45965</v>
      </c>
      <c r="C1186" s="11" t="s">
        <v>24</v>
      </c>
      <c r="D1186" s="11" t="s">
        <v>35</v>
      </c>
      <c r="E1186" s="11" t="s">
        <v>56</v>
      </c>
      <c r="F1186" s="11" t="s">
        <v>45</v>
      </c>
      <c r="G1186" s="11" t="n">
        <v>1</v>
      </c>
      <c r="H1186" s="21" t="n">
        <v>110</v>
      </c>
      <c r="I1186" s="21" t="n">
        <v>62</v>
      </c>
      <c r="J1186" s="22" t="n">
        <v>0.1</v>
      </c>
      <c r="K1186" s="21" t="n">
        <f aca="false">G1186*H1186*(1-J1186)</f>
        <v>99</v>
      </c>
      <c r="L1186" s="21" t="n">
        <f aca="false">G1186*I1186</f>
        <v>62</v>
      </c>
      <c r="M1186" s="21" t="n">
        <f aca="false">K1186-L1186</f>
        <v>37</v>
      </c>
      <c r="N1186" s="11" t="str">
        <f aca="false">TEXT(B1186,"mmm")</f>
        <v>Nov</v>
      </c>
    </row>
    <row r="1187" customFormat="false" ht="15" hidden="false" customHeight="false" outlineLevel="0" collapsed="false">
      <c r="A1187" s="11" t="s">
        <v>1248</v>
      </c>
      <c r="B1187" s="20" t="n">
        <v>45966</v>
      </c>
      <c r="C1187" s="11" t="s">
        <v>18</v>
      </c>
      <c r="D1187" s="11" t="s">
        <v>33</v>
      </c>
      <c r="E1187" s="11" t="s">
        <v>48</v>
      </c>
      <c r="F1187" s="11" t="s">
        <v>42</v>
      </c>
      <c r="G1187" s="11" t="n">
        <v>4</v>
      </c>
      <c r="H1187" s="21" t="n">
        <v>520</v>
      </c>
      <c r="I1187" s="21" t="n">
        <v>415</v>
      </c>
      <c r="J1187" s="22" t="n">
        <v>0</v>
      </c>
      <c r="K1187" s="21" t="n">
        <f aca="false">G1187*H1187*(1-J1187)</f>
        <v>2080</v>
      </c>
      <c r="L1187" s="21" t="n">
        <f aca="false">G1187*I1187</f>
        <v>1660</v>
      </c>
      <c r="M1187" s="21" t="n">
        <f aca="false">K1187-L1187</f>
        <v>420</v>
      </c>
      <c r="N1187" s="11" t="str">
        <f aca="false">TEXT(B1187,"mmm")</f>
        <v>Nov</v>
      </c>
    </row>
    <row r="1188" customFormat="false" ht="15" hidden="false" customHeight="false" outlineLevel="0" collapsed="false">
      <c r="A1188" s="11" t="s">
        <v>1249</v>
      </c>
      <c r="B1188" s="20" t="n">
        <v>45966</v>
      </c>
      <c r="C1188" s="11" t="s">
        <v>24</v>
      </c>
      <c r="D1188" s="11" t="s">
        <v>37</v>
      </c>
      <c r="E1188" s="11" t="s">
        <v>52</v>
      </c>
      <c r="F1188" s="11" t="s">
        <v>42</v>
      </c>
      <c r="G1188" s="11" t="n">
        <v>5</v>
      </c>
      <c r="H1188" s="21" t="n">
        <v>12</v>
      </c>
      <c r="I1188" s="21" t="n">
        <v>6</v>
      </c>
      <c r="J1188" s="22" t="n">
        <v>0.1</v>
      </c>
      <c r="K1188" s="21" t="n">
        <f aca="false">G1188*H1188*(1-J1188)</f>
        <v>54</v>
      </c>
      <c r="L1188" s="21" t="n">
        <f aca="false">G1188*I1188</f>
        <v>30</v>
      </c>
      <c r="M1188" s="21" t="n">
        <f aca="false">K1188-L1188</f>
        <v>24</v>
      </c>
      <c r="N1188" s="11" t="str">
        <f aca="false">TEXT(B1188,"mmm")</f>
        <v>Nov</v>
      </c>
    </row>
    <row r="1189" customFormat="false" ht="15" hidden="false" customHeight="false" outlineLevel="0" collapsed="false">
      <c r="A1189" s="11" t="s">
        <v>1250</v>
      </c>
      <c r="B1189" s="20" t="n">
        <v>45966</v>
      </c>
      <c r="C1189" s="11" t="s">
        <v>22</v>
      </c>
      <c r="D1189" s="11" t="s">
        <v>37</v>
      </c>
      <c r="E1189" s="11" t="s">
        <v>52</v>
      </c>
      <c r="F1189" s="11" t="s">
        <v>42</v>
      </c>
      <c r="G1189" s="11" t="n">
        <v>15</v>
      </c>
      <c r="H1189" s="21" t="n">
        <v>12</v>
      </c>
      <c r="I1189" s="21" t="n">
        <v>6</v>
      </c>
      <c r="J1189" s="22" t="n">
        <v>0.1</v>
      </c>
      <c r="K1189" s="21" t="n">
        <f aca="false">G1189*H1189*(1-J1189)</f>
        <v>162</v>
      </c>
      <c r="L1189" s="21" t="n">
        <f aca="false">G1189*I1189</f>
        <v>90</v>
      </c>
      <c r="M1189" s="21" t="n">
        <f aca="false">K1189-L1189</f>
        <v>72</v>
      </c>
      <c r="N1189" s="11" t="str">
        <f aca="false">TEXT(B1189,"mmm")</f>
        <v>Nov</v>
      </c>
    </row>
    <row r="1190" customFormat="false" ht="15" hidden="false" customHeight="false" outlineLevel="0" collapsed="false">
      <c r="A1190" s="11" t="s">
        <v>1251</v>
      </c>
      <c r="B1190" s="20" t="n">
        <v>45966</v>
      </c>
      <c r="C1190" s="11" t="s">
        <v>20</v>
      </c>
      <c r="D1190" s="11" t="s">
        <v>35</v>
      </c>
      <c r="E1190" s="11" t="s">
        <v>55</v>
      </c>
      <c r="F1190" s="11" t="s">
        <v>44</v>
      </c>
      <c r="G1190" s="11" t="n">
        <v>3</v>
      </c>
      <c r="H1190" s="21" t="n">
        <v>150</v>
      </c>
      <c r="I1190" s="21" t="n">
        <v>82</v>
      </c>
      <c r="J1190" s="22" t="n">
        <v>0</v>
      </c>
      <c r="K1190" s="21" t="n">
        <f aca="false">G1190*H1190*(1-J1190)</f>
        <v>450</v>
      </c>
      <c r="L1190" s="21" t="n">
        <f aca="false">G1190*I1190</f>
        <v>246</v>
      </c>
      <c r="M1190" s="21" t="n">
        <f aca="false">K1190-L1190</f>
        <v>204</v>
      </c>
      <c r="N1190" s="11" t="str">
        <f aca="false">TEXT(B1190,"mmm")</f>
        <v>Nov</v>
      </c>
    </row>
    <row r="1191" customFormat="false" ht="15" hidden="false" customHeight="false" outlineLevel="0" collapsed="false">
      <c r="A1191" s="11" t="s">
        <v>1252</v>
      </c>
      <c r="B1191" s="20" t="n">
        <v>45967</v>
      </c>
      <c r="C1191" s="11" t="s">
        <v>20</v>
      </c>
      <c r="D1191" s="11" t="s">
        <v>37</v>
      </c>
      <c r="E1191" s="11" t="s">
        <v>53</v>
      </c>
      <c r="F1191" s="11" t="s">
        <v>44</v>
      </c>
      <c r="G1191" s="11" t="n">
        <v>12</v>
      </c>
      <c r="H1191" s="21" t="n">
        <v>9</v>
      </c>
      <c r="I1191" s="21" t="n">
        <v>4.5</v>
      </c>
      <c r="J1191" s="22" t="n">
        <v>0.1</v>
      </c>
      <c r="K1191" s="21" t="n">
        <f aca="false">G1191*H1191*(1-J1191)</f>
        <v>97.2</v>
      </c>
      <c r="L1191" s="21" t="n">
        <f aca="false">G1191*I1191</f>
        <v>54</v>
      </c>
      <c r="M1191" s="21" t="n">
        <f aca="false">K1191-L1191</f>
        <v>43.2</v>
      </c>
      <c r="N1191" s="11" t="str">
        <f aca="false">TEXT(B1191,"mmm")</f>
        <v>Nov</v>
      </c>
    </row>
    <row r="1192" customFormat="false" ht="15" hidden="false" customHeight="false" outlineLevel="0" collapsed="false">
      <c r="A1192" s="11" t="s">
        <v>1253</v>
      </c>
      <c r="B1192" s="20" t="n">
        <v>45967</v>
      </c>
      <c r="C1192" s="11" t="s">
        <v>20</v>
      </c>
      <c r="D1192" s="11" t="s">
        <v>33</v>
      </c>
      <c r="E1192" s="11" t="s">
        <v>48</v>
      </c>
      <c r="F1192" s="11" t="s">
        <v>44</v>
      </c>
      <c r="G1192" s="11" t="n">
        <v>2</v>
      </c>
      <c r="H1192" s="21" t="n">
        <v>520</v>
      </c>
      <c r="I1192" s="21" t="n">
        <v>415</v>
      </c>
      <c r="J1192" s="22" t="n">
        <v>0.1</v>
      </c>
      <c r="K1192" s="21" t="n">
        <f aca="false">G1192*H1192*(1-J1192)</f>
        <v>936</v>
      </c>
      <c r="L1192" s="21" t="n">
        <f aca="false">G1192*I1192</f>
        <v>830</v>
      </c>
      <c r="M1192" s="21" t="n">
        <f aca="false">K1192-L1192</f>
        <v>106</v>
      </c>
      <c r="N1192" s="11" t="str">
        <f aca="false">TEXT(B1192,"mmm")</f>
        <v>Nov</v>
      </c>
    </row>
    <row r="1193" customFormat="false" ht="15" hidden="false" customHeight="false" outlineLevel="0" collapsed="false">
      <c r="A1193" s="11" t="s">
        <v>1254</v>
      </c>
      <c r="B1193" s="20" t="n">
        <v>45967</v>
      </c>
      <c r="C1193" s="11" t="s">
        <v>22</v>
      </c>
      <c r="D1193" s="11" t="s">
        <v>33</v>
      </c>
      <c r="E1193" s="11" t="s">
        <v>51</v>
      </c>
      <c r="F1193" s="11" t="s">
        <v>42</v>
      </c>
      <c r="G1193" s="11" t="n">
        <v>6</v>
      </c>
      <c r="H1193" s="21" t="n">
        <v>90</v>
      </c>
      <c r="I1193" s="21" t="n">
        <v>58</v>
      </c>
      <c r="J1193" s="22" t="n">
        <v>0.15</v>
      </c>
      <c r="K1193" s="21" t="n">
        <f aca="false">G1193*H1193*(1-J1193)</f>
        <v>459</v>
      </c>
      <c r="L1193" s="21" t="n">
        <f aca="false">G1193*I1193</f>
        <v>348</v>
      </c>
      <c r="M1193" s="21" t="n">
        <f aca="false">K1193-L1193</f>
        <v>111</v>
      </c>
      <c r="N1193" s="11" t="str">
        <f aca="false">TEXT(B1193,"mmm")</f>
        <v>Nov</v>
      </c>
    </row>
    <row r="1194" customFormat="false" ht="15" hidden="false" customHeight="false" outlineLevel="0" collapsed="false">
      <c r="A1194" s="11" t="s">
        <v>1255</v>
      </c>
      <c r="B1194" s="20" t="n">
        <v>45967</v>
      </c>
      <c r="C1194" s="11" t="s">
        <v>22</v>
      </c>
      <c r="D1194" s="11" t="s">
        <v>33</v>
      </c>
      <c r="E1194" s="11" t="s">
        <v>51</v>
      </c>
      <c r="F1194" s="11" t="s">
        <v>44</v>
      </c>
      <c r="G1194" s="11" t="n">
        <v>3</v>
      </c>
      <c r="H1194" s="21" t="n">
        <v>90</v>
      </c>
      <c r="I1194" s="21" t="n">
        <v>58</v>
      </c>
      <c r="J1194" s="22" t="n">
        <v>0.1</v>
      </c>
      <c r="K1194" s="21" t="n">
        <f aca="false">G1194*H1194*(1-J1194)</f>
        <v>243</v>
      </c>
      <c r="L1194" s="21" t="n">
        <f aca="false">G1194*I1194</f>
        <v>174</v>
      </c>
      <c r="M1194" s="21" t="n">
        <f aca="false">K1194-L1194</f>
        <v>69</v>
      </c>
      <c r="N1194" s="11" t="str">
        <f aca="false">TEXT(B1194,"mmm")</f>
        <v>Nov</v>
      </c>
    </row>
    <row r="1195" customFormat="false" ht="15" hidden="false" customHeight="false" outlineLevel="0" collapsed="false">
      <c r="A1195" s="11" t="s">
        <v>1256</v>
      </c>
      <c r="B1195" s="20" t="n">
        <v>45967</v>
      </c>
      <c r="C1195" s="11" t="s">
        <v>24</v>
      </c>
      <c r="D1195" s="11" t="s">
        <v>37</v>
      </c>
      <c r="E1195" s="11" t="s">
        <v>53</v>
      </c>
      <c r="F1195" s="11" t="s">
        <v>44</v>
      </c>
      <c r="G1195" s="11" t="n">
        <v>27</v>
      </c>
      <c r="H1195" s="21" t="n">
        <v>9</v>
      </c>
      <c r="I1195" s="21" t="n">
        <v>4.5</v>
      </c>
      <c r="J1195" s="22" t="n">
        <v>0.05</v>
      </c>
      <c r="K1195" s="21" t="n">
        <f aca="false">G1195*H1195*(1-J1195)</f>
        <v>230.85</v>
      </c>
      <c r="L1195" s="21" t="n">
        <f aca="false">G1195*I1195</f>
        <v>121.5</v>
      </c>
      <c r="M1195" s="21" t="n">
        <f aca="false">K1195-L1195</f>
        <v>109.35</v>
      </c>
      <c r="N1195" s="11" t="str">
        <f aca="false">TEXT(B1195,"mmm")</f>
        <v>Nov</v>
      </c>
    </row>
    <row r="1196" customFormat="false" ht="15" hidden="false" customHeight="false" outlineLevel="0" collapsed="false">
      <c r="A1196" s="11" t="s">
        <v>1257</v>
      </c>
      <c r="B1196" s="20" t="n">
        <v>45967</v>
      </c>
      <c r="C1196" s="11" t="s">
        <v>20</v>
      </c>
      <c r="D1196" s="11" t="s">
        <v>37</v>
      </c>
      <c r="E1196" s="11" t="s">
        <v>49</v>
      </c>
      <c r="F1196" s="11" t="s">
        <v>42</v>
      </c>
      <c r="G1196" s="11" t="n">
        <v>10</v>
      </c>
      <c r="H1196" s="21" t="n">
        <v>28</v>
      </c>
      <c r="I1196" s="21" t="n">
        <v>17</v>
      </c>
      <c r="J1196" s="22" t="n">
        <v>0</v>
      </c>
      <c r="K1196" s="21" t="n">
        <f aca="false">G1196*H1196*(1-J1196)</f>
        <v>280</v>
      </c>
      <c r="L1196" s="21" t="n">
        <f aca="false">G1196*I1196</f>
        <v>170</v>
      </c>
      <c r="M1196" s="21" t="n">
        <f aca="false">K1196-L1196</f>
        <v>110</v>
      </c>
      <c r="N1196" s="11" t="str">
        <f aca="false">TEXT(B1196,"mmm")</f>
        <v>Nov</v>
      </c>
    </row>
    <row r="1197" customFormat="false" ht="15" hidden="false" customHeight="false" outlineLevel="0" collapsed="false">
      <c r="A1197" s="11" t="s">
        <v>1258</v>
      </c>
      <c r="B1197" s="20" t="n">
        <v>45967</v>
      </c>
      <c r="C1197" s="11" t="s">
        <v>18</v>
      </c>
      <c r="D1197" s="11" t="s">
        <v>37</v>
      </c>
      <c r="E1197" s="11" t="s">
        <v>52</v>
      </c>
      <c r="F1197" s="11" t="s">
        <v>44</v>
      </c>
      <c r="G1197" s="11" t="n">
        <v>13</v>
      </c>
      <c r="H1197" s="21" t="n">
        <v>12</v>
      </c>
      <c r="I1197" s="21" t="n">
        <v>6</v>
      </c>
      <c r="J1197" s="22" t="n">
        <v>0</v>
      </c>
      <c r="K1197" s="21" t="n">
        <f aca="false">G1197*H1197*(1-J1197)</f>
        <v>156</v>
      </c>
      <c r="L1197" s="21" t="n">
        <f aca="false">G1197*I1197</f>
        <v>78</v>
      </c>
      <c r="M1197" s="21" t="n">
        <f aca="false">K1197-L1197</f>
        <v>78</v>
      </c>
      <c r="N1197" s="11" t="str">
        <f aca="false">TEXT(B1197,"mmm")</f>
        <v>Nov</v>
      </c>
    </row>
    <row r="1198" customFormat="false" ht="15" hidden="false" customHeight="false" outlineLevel="0" collapsed="false">
      <c r="A1198" s="11" t="s">
        <v>1259</v>
      </c>
      <c r="B1198" s="20" t="n">
        <v>45968</v>
      </c>
      <c r="C1198" s="11" t="s">
        <v>20</v>
      </c>
      <c r="D1198" s="11" t="s">
        <v>37</v>
      </c>
      <c r="E1198" s="11" t="s">
        <v>49</v>
      </c>
      <c r="F1198" s="11" t="s">
        <v>44</v>
      </c>
      <c r="G1198" s="11" t="n">
        <v>18</v>
      </c>
      <c r="H1198" s="21" t="n">
        <v>28</v>
      </c>
      <c r="I1198" s="21" t="n">
        <v>17</v>
      </c>
      <c r="J1198" s="22" t="n">
        <v>0.1</v>
      </c>
      <c r="K1198" s="21" t="n">
        <f aca="false">G1198*H1198*(1-J1198)</f>
        <v>453.6</v>
      </c>
      <c r="L1198" s="21" t="n">
        <f aca="false">G1198*I1198</f>
        <v>306</v>
      </c>
      <c r="M1198" s="21" t="n">
        <f aca="false">K1198-L1198</f>
        <v>147.6</v>
      </c>
      <c r="N1198" s="11" t="str">
        <f aca="false">TEXT(B1198,"mmm")</f>
        <v>Nov</v>
      </c>
    </row>
    <row r="1199" customFormat="false" ht="15" hidden="false" customHeight="false" outlineLevel="0" collapsed="false">
      <c r="A1199" s="11" t="s">
        <v>1260</v>
      </c>
      <c r="B1199" s="20" t="n">
        <v>45968</v>
      </c>
      <c r="C1199" s="11" t="s">
        <v>18</v>
      </c>
      <c r="D1199" s="11" t="s">
        <v>33</v>
      </c>
      <c r="E1199" s="11" t="s">
        <v>48</v>
      </c>
      <c r="F1199" s="11" t="s">
        <v>42</v>
      </c>
      <c r="G1199" s="11" t="n">
        <v>4</v>
      </c>
      <c r="H1199" s="21" t="n">
        <v>520</v>
      </c>
      <c r="I1199" s="21" t="n">
        <v>415</v>
      </c>
      <c r="J1199" s="22" t="n">
        <v>0.1</v>
      </c>
      <c r="K1199" s="21" t="n">
        <f aca="false">G1199*H1199*(1-J1199)</f>
        <v>1872</v>
      </c>
      <c r="L1199" s="21" t="n">
        <f aca="false">G1199*I1199</f>
        <v>1660</v>
      </c>
      <c r="M1199" s="21" t="n">
        <f aca="false">K1199-L1199</f>
        <v>212</v>
      </c>
      <c r="N1199" s="11" t="str">
        <f aca="false">TEXT(B1199,"mmm")</f>
        <v>Nov</v>
      </c>
    </row>
    <row r="1200" customFormat="false" ht="15" hidden="false" customHeight="false" outlineLevel="0" collapsed="false">
      <c r="A1200" s="11" t="s">
        <v>1261</v>
      </c>
      <c r="B1200" s="20" t="n">
        <v>45968</v>
      </c>
      <c r="C1200" s="11" t="s">
        <v>18</v>
      </c>
      <c r="D1200" s="11" t="s">
        <v>35</v>
      </c>
      <c r="E1200" s="11" t="s">
        <v>55</v>
      </c>
      <c r="F1200" s="11" t="s">
        <v>44</v>
      </c>
      <c r="G1200" s="11" t="n">
        <v>2</v>
      </c>
      <c r="H1200" s="21" t="n">
        <v>150</v>
      </c>
      <c r="I1200" s="21" t="n">
        <v>82</v>
      </c>
      <c r="J1200" s="22" t="n">
        <v>0.1</v>
      </c>
      <c r="K1200" s="21" t="n">
        <f aca="false">G1200*H1200*(1-J1200)</f>
        <v>270</v>
      </c>
      <c r="L1200" s="21" t="n">
        <f aca="false">G1200*I1200</f>
        <v>164</v>
      </c>
      <c r="M1200" s="21" t="n">
        <f aca="false">K1200-L1200</f>
        <v>106</v>
      </c>
      <c r="N1200" s="11" t="str">
        <f aca="false">TEXT(B1200,"mmm")</f>
        <v>Nov</v>
      </c>
    </row>
    <row r="1201" customFormat="false" ht="15" hidden="false" customHeight="false" outlineLevel="0" collapsed="false">
      <c r="A1201" s="11" t="s">
        <v>1262</v>
      </c>
      <c r="B1201" s="20" t="n">
        <v>45969</v>
      </c>
      <c r="C1201" s="11" t="s">
        <v>22</v>
      </c>
      <c r="D1201" s="11" t="s">
        <v>37</v>
      </c>
      <c r="E1201" s="11" t="s">
        <v>53</v>
      </c>
      <c r="F1201" s="11" t="s">
        <v>42</v>
      </c>
      <c r="G1201" s="11" t="n">
        <v>20</v>
      </c>
      <c r="H1201" s="21" t="n">
        <v>9</v>
      </c>
      <c r="I1201" s="21" t="n">
        <v>4.5</v>
      </c>
      <c r="J1201" s="22" t="n">
        <v>0.15</v>
      </c>
      <c r="K1201" s="21" t="n">
        <f aca="false">G1201*H1201*(1-J1201)</f>
        <v>153</v>
      </c>
      <c r="L1201" s="21" t="n">
        <f aca="false">G1201*I1201</f>
        <v>90</v>
      </c>
      <c r="M1201" s="21" t="n">
        <f aca="false">K1201-L1201</f>
        <v>63</v>
      </c>
      <c r="N1201" s="11" t="str">
        <f aca="false">TEXT(B1201,"mmm")</f>
        <v>Nov</v>
      </c>
    </row>
    <row r="1202" customFormat="false" ht="15" hidden="false" customHeight="false" outlineLevel="0" collapsed="false">
      <c r="A1202" s="11" t="s">
        <v>1263</v>
      </c>
      <c r="B1202" s="20" t="n">
        <v>45969</v>
      </c>
      <c r="C1202" s="11" t="s">
        <v>20</v>
      </c>
      <c r="D1202" s="11" t="s">
        <v>33</v>
      </c>
      <c r="E1202" s="11" t="s">
        <v>48</v>
      </c>
      <c r="F1202" s="11" t="s">
        <v>42</v>
      </c>
      <c r="G1202" s="11" t="n">
        <v>3</v>
      </c>
      <c r="H1202" s="21" t="n">
        <v>520</v>
      </c>
      <c r="I1202" s="21" t="n">
        <v>415</v>
      </c>
      <c r="J1202" s="22" t="n">
        <v>0.1</v>
      </c>
      <c r="K1202" s="21" t="n">
        <f aca="false">G1202*H1202*(1-J1202)</f>
        <v>1404</v>
      </c>
      <c r="L1202" s="21" t="n">
        <f aca="false">G1202*I1202</f>
        <v>1245</v>
      </c>
      <c r="M1202" s="21" t="n">
        <f aca="false">K1202-L1202</f>
        <v>159</v>
      </c>
      <c r="N1202" s="11" t="str">
        <f aca="false">TEXT(B1202,"mmm")</f>
        <v>Nov</v>
      </c>
    </row>
    <row r="1203" customFormat="false" ht="15" hidden="false" customHeight="false" outlineLevel="0" collapsed="false">
      <c r="A1203" s="11" t="s">
        <v>1264</v>
      </c>
      <c r="B1203" s="20" t="n">
        <v>45969</v>
      </c>
      <c r="C1203" s="11" t="s">
        <v>20</v>
      </c>
      <c r="D1203" s="11" t="s">
        <v>37</v>
      </c>
      <c r="E1203" s="11" t="s">
        <v>52</v>
      </c>
      <c r="F1203" s="11" t="s">
        <v>42</v>
      </c>
      <c r="G1203" s="11" t="n">
        <v>31</v>
      </c>
      <c r="H1203" s="21" t="n">
        <v>12</v>
      </c>
      <c r="I1203" s="21" t="n">
        <v>6</v>
      </c>
      <c r="J1203" s="22" t="n">
        <v>0.15</v>
      </c>
      <c r="K1203" s="21" t="n">
        <f aca="false">G1203*H1203*(1-J1203)</f>
        <v>316.2</v>
      </c>
      <c r="L1203" s="21" t="n">
        <f aca="false">G1203*I1203</f>
        <v>186</v>
      </c>
      <c r="M1203" s="21" t="n">
        <f aca="false">K1203-L1203</f>
        <v>130.2</v>
      </c>
      <c r="N1203" s="11" t="str">
        <f aca="false">TEXT(B1203,"mmm")</f>
        <v>Nov</v>
      </c>
    </row>
    <row r="1204" customFormat="false" ht="15" hidden="false" customHeight="false" outlineLevel="0" collapsed="false">
      <c r="A1204" s="11" t="s">
        <v>1265</v>
      </c>
      <c r="B1204" s="20" t="n">
        <v>45969</v>
      </c>
      <c r="C1204" s="11" t="s">
        <v>24</v>
      </c>
      <c r="D1204" s="11" t="s">
        <v>37</v>
      </c>
      <c r="E1204" s="11" t="s">
        <v>49</v>
      </c>
      <c r="F1204" s="11" t="s">
        <v>42</v>
      </c>
      <c r="G1204" s="11" t="n">
        <v>18</v>
      </c>
      <c r="H1204" s="21" t="n">
        <v>28</v>
      </c>
      <c r="I1204" s="21" t="n">
        <v>17</v>
      </c>
      <c r="J1204" s="22" t="n">
        <v>0.05</v>
      </c>
      <c r="K1204" s="21" t="n">
        <f aca="false">G1204*H1204*(1-J1204)</f>
        <v>478.8</v>
      </c>
      <c r="L1204" s="21" t="n">
        <f aca="false">G1204*I1204</f>
        <v>306</v>
      </c>
      <c r="M1204" s="21" t="n">
        <f aca="false">K1204-L1204</f>
        <v>172.8</v>
      </c>
      <c r="N1204" s="11" t="str">
        <f aca="false">TEXT(B1204,"mmm")</f>
        <v>Nov</v>
      </c>
    </row>
    <row r="1205" customFormat="false" ht="15" hidden="false" customHeight="false" outlineLevel="0" collapsed="false">
      <c r="A1205" s="11" t="s">
        <v>1266</v>
      </c>
      <c r="B1205" s="20" t="n">
        <v>45969</v>
      </c>
      <c r="C1205" s="11" t="s">
        <v>18</v>
      </c>
      <c r="D1205" s="11" t="s">
        <v>37</v>
      </c>
      <c r="E1205" s="11" t="s">
        <v>49</v>
      </c>
      <c r="F1205" s="11" t="s">
        <v>42</v>
      </c>
      <c r="G1205" s="11" t="n">
        <v>4</v>
      </c>
      <c r="H1205" s="21" t="n">
        <v>28</v>
      </c>
      <c r="I1205" s="21" t="n">
        <v>17</v>
      </c>
      <c r="J1205" s="22" t="n">
        <v>0</v>
      </c>
      <c r="K1205" s="21" t="n">
        <f aca="false">G1205*H1205*(1-J1205)</f>
        <v>112</v>
      </c>
      <c r="L1205" s="21" t="n">
        <f aca="false">G1205*I1205</f>
        <v>68</v>
      </c>
      <c r="M1205" s="21" t="n">
        <f aca="false">K1205-L1205</f>
        <v>44</v>
      </c>
      <c r="N1205" s="11" t="str">
        <f aca="false">TEXT(B1205,"mmm")</f>
        <v>Nov</v>
      </c>
    </row>
    <row r="1206" customFormat="false" ht="15" hidden="false" customHeight="false" outlineLevel="0" collapsed="false">
      <c r="A1206" s="11" t="s">
        <v>1267</v>
      </c>
      <c r="B1206" s="20" t="n">
        <v>45969</v>
      </c>
      <c r="C1206" s="11" t="s">
        <v>22</v>
      </c>
      <c r="D1206" s="11" t="s">
        <v>37</v>
      </c>
      <c r="E1206" s="11" t="s">
        <v>53</v>
      </c>
      <c r="F1206" s="11" t="s">
        <v>44</v>
      </c>
      <c r="G1206" s="11" t="n">
        <v>8</v>
      </c>
      <c r="H1206" s="21" t="n">
        <v>9</v>
      </c>
      <c r="I1206" s="21" t="n">
        <v>4.5</v>
      </c>
      <c r="J1206" s="22" t="n">
        <v>0.05</v>
      </c>
      <c r="K1206" s="21" t="n">
        <f aca="false">G1206*H1206*(1-J1206)</f>
        <v>68.4</v>
      </c>
      <c r="L1206" s="21" t="n">
        <f aca="false">G1206*I1206</f>
        <v>36</v>
      </c>
      <c r="M1206" s="21" t="n">
        <f aca="false">K1206-L1206</f>
        <v>32.4</v>
      </c>
      <c r="N1206" s="11" t="str">
        <f aca="false">TEXT(B1206,"mmm")</f>
        <v>Nov</v>
      </c>
    </row>
    <row r="1207" customFormat="false" ht="15" hidden="false" customHeight="false" outlineLevel="0" collapsed="false">
      <c r="A1207" s="11" t="s">
        <v>1268</v>
      </c>
      <c r="B1207" s="20" t="n">
        <v>45969</v>
      </c>
      <c r="C1207" s="11" t="s">
        <v>20</v>
      </c>
      <c r="D1207" s="11" t="s">
        <v>37</v>
      </c>
      <c r="E1207" s="11" t="s">
        <v>49</v>
      </c>
      <c r="F1207" s="11" t="s">
        <v>42</v>
      </c>
      <c r="G1207" s="11" t="n">
        <v>26</v>
      </c>
      <c r="H1207" s="21" t="n">
        <v>28</v>
      </c>
      <c r="I1207" s="21" t="n">
        <v>17</v>
      </c>
      <c r="J1207" s="22" t="n">
        <v>0</v>
      </c>
      <c r="K1207" s="21" t="n">
        <f aca="false">G1207*H1207*(1-J1207)</f>
        <v>728</v>
      </c>
      <c r="L1207" s="21" t="n">
        <f aca="false">G1207*I1207</f>
        <v>442</v>
      </c>
      <c r="M1207" s="21" t="n">
        <f aca="false">K1207-L1207</f>
        <v>286</v>
      </c>
      <c r="N1207" s="11" t="str">
        <f aca="false">TEXT(B1207,"mmm")</f>
        <v>Nov</v>
      </c>
    </row>
    <row r="1208" customFormat="false" ht="15" hidden="false" customHeight="false" outlineLevel="0" collapsed="false">
      <c r="A1208" s="11" t="s">
        <v>1269</v>
      </c>
      <c r="B1208" s="20" t="n">
        <v>45970</v>
      </c>
      <c r="C1208" s="11" t="s">
        <v>20</v>
      </c>
      <c r="D1208" s="11" t="s">
        <v>37</v>
      </c>
      <c r="E1208" s="11" t="s">
        <v>49</v>
      </c>
      <c r="F1208" s="11" t="s">
        <v>44</v>
      </c>
      <c r="G1208" s="11" t="n">
        <v>22</v>
      </c>
      <c r="H1208" s="21" t="n">
        <v>28</v>
      </c>
      <c r="I1208" s="21" t="n">
        <v>17</v>
      </c>
      <c r="J1208" s="22" t="n">
        <v>0.1</v>
      </c>
      <c r="K1208" s="21" t="n">
        <f aca="false">G1208*H1208*(1-J1208)</f>
        <v>554.4</v>
      </c>
      <c r="L1208" s="21" t="n">
        <f aca="false">G1208*I1208</f>
        <v>374</v>
      </c>
      <c r="M1208" s="21" t="n">
        <f aca="false">K1208-L1208</f>
        <v>180.4</v>
      </c>
      <c r="N1208" s="11" t="str">
        <f aca="false">TEXT(B1208,"mmm")</f>
        <v>Nov</v>
      </c>
    </row>
    <row r="1209" customFormat="false" ht="15" hidden="false" customHeight="false" outlineLevel="0" collapsed="false">
      <c r="A1209" s="11" t="s">
        <v>1270</v>
      </c>
      <c r="B1209" s="20" t="n">
        <v>45970</v>
      </c>
      <c r="C1209" s="11" t="s">
        <v>20</v>
      </c>
      <c r="D1209" s="11" t="s">
        <v>37</v>
      </c>
      <c r="E1209" s="11" t="s">
        <v>52</v>
      </c>
      <c r="F1209" s="11" t="s">
        <v>44</v>
      </c>
      <c r="G1209" s="11" t="n">
        <v>6</v>
      </c>
      <c r="H1209" s="21" t="n">
        <v>12</v>
      </c>
      <c r="I1209" s="21" t="n">
        <v>6</v>
      </c>
      <c r="J1209" s="22" t="n">
        <v>0.1</v>
      </c>
      <c r="K1209" s="21" t="n">
        <f aca="false">G1209*H1209*(1-J1209)</f>
        <v>64.8</v>
      </c>
      <c r="L1209" s="21" t="n">
        <f aca="false">G1209*I1209</f>
        <v>36</v>
      </c>
      <c r="M1209" s="21" t="n">
        <f aca="false">K1209-L1209</f>
        <v>28.8</v>
      </c>
      <c r="N1209" s="11" t="str">
        <f aca="false">TEXT(B1209,"mmm")</f>
        <v>Nov</v>
      </c>
    </row>
    <row r="1210" customFormat="false" ht="15" hidden="false" customHeight="false" outlineLevel="0" collapsed="false">
      <c r="A1210" s="11" t="s">
        <v>1271</v>
      </c>
      <c r="B1210" s="20" t="n">
        <v>45970</v>
      </c>
      <c r="C1210" s="11" t="s">
        <v>24</v>
      </c>
      <c r="D1210" s="11" t="s">
        <v>33</v>
      </c>
      <c r="E1210" s="11" t="s">
        <v>48</v>
      </c>
      <c r="F1210" s="11" t="s">
        <v>44</v>
      </c>
      <c r="G1210" s="11" t="n">
        <v>2</v>
      </c>
      <c r="H1210" s="21" t="n">
        <v>520</v>
      </c>
      <c r="I1210" s="21" t="n">
        <v>415</v>
      </c>
      <c r="J1210" s="22" t="n">
        <v>0</v>
      </c>
      <c r="K1210" s="21" t="n">
        <f aca="false">G1210*H1210*(1-J1210)</f>
        <v>1040</v>
      </c>
      <c r="L1210" s="21" t="n">
        <f aca="false">G1210*I1210</f>
        <v>830</v>
      </c>
      <c r="M1210" s="21" t="n">
        <f aca="false">K1210-L1210</f>
        <v>210</v>
      </c>
      <c r="N1210" s="11" t="str">
        <f aca="false">TEXT(B1210,"mmm")</f>
        <v>Nov</v>
      </c>
    </row>
    <row r="1211" customFormat="false" ht="15" hidden="false" customHeight="false" outlineLevel="0" collapsed="false">
      <c r="A1211" s="11" t="s">
        <v>1272</v>
      </c>
      <c r="B1211" s="20" t="n">
        <v>45970</v>
      </c>
      <c r="C1211" s="11" t="s">
        <v>22</v>
      </c>
      <c r="D1211" s="11" t="s">
        <v>37</v>
      </c>
      <c r="E1211" s="11" t="s">
        <v>49</v>
      </c>
      <c r="F1211" s="11" t="s">
        <v>45</v>
      </c>
      <c r="G1211" s="11" t="n">
        <v>39</v>
      </c>
      <c r="H1211" s="21" t="n">
        <v>28</v>
      </c>
      <c r="I1211" s="21" t="n">
        <v>17</v>
      </c>
      <c r="J1211" s="22" t="n">
        <v>0.1</v>
      </c>
      <c r="K1211" s="21" t="n">
        <f aca="false">G1211*H1211*(1-J1211)</f>
        <v>982.8</v>
      </c>
      <c r="L1211" s="21" t="n">
        <f aca="false">G1211*I1211</f>
        <v>663</v>
      </c>
      <c r="M1211" s="21" t="n">
        <f aca="false">K1211-L1211</f>
        <v>319.8</v>
      </c>
      <c r="N1211" s="11" t="str">
        <f aca="false">TEXT(B1211,"mmm")</f>
        <v>Nov</v>
      </c>
    </row>
    <row r="1212" customFormat="false" ht="15" hidden="false" customHeight="false" outlineLevel="0" collapsed="false">
      <c r="A1212" s="11" t="s">
        <v>1273</v>
      </c>
      <c r="B1212" s="20" t="n">
        <v>45970</v>
      </c>
      <c r="C1212" s="11" t="s">
        <v>20</v>
      </c>
      <c r="D1212" s="11" t="s">
        <v>35</v>
      </c>
      <c r="E1212" s="11" t="s">
        <v>55</v>
      </c>
      <c r="F1212" s="11" t="s">
        <v>44</v>
      </c>
      <c r="G1212" s="11" t="n">
        <v>3</v>
      </c>
      <c r="H1212" s="21" t="n">
        <v>150</v>
      </c>
      <c r="I1212" s="21" t="n">
        <v>82</v>
      </c>
      <c r="J1212" s="22" t="n">
        <v>0</v>
      </c>
      <c r="K1212" s="21" t="n">
        <f aca="false">G1212*H1212*(1-J1212)</f>
        <v>450</v>
      </c>
      <c r="L1212" s="21" t="n">
        <f aca="false">G1212*I1212</f>
        <v>246</v>
      </c>
      <c r="M1212" s="21" t="n">
        <f aca="false">K1212-L1212</f>
        <v>204</v>
      </c>
      <c r="N1212" s="11" t="str">
        <f aca="false">TEXT(B1212,"mmm")</f>
        <v>Nov</v>
      </c>
    </row>
    <row r="1213" customFormat="false" ht="15" hidden="false" customHeight="false" outlineLevel="0" collapsed="false">
      <c r="A1213" s="11" t="s">
        <v>1274</v>
      </c>
      <c r="B1213" s="20" t="n">
        <v>45970</v>
      </c>
      <c r="C1213" s="11" t="s">
        <v>20</v>
      </c>
      <c r="D1213" s="11" t="s">
        <v>35</v>
      </c>
      <c r="E1213" s="11" t="s">
        <v>55</v>
      </c>
      <c r="F1213" s="11" t="s">
        <v>45</v>
      </c>
      <c r="G1213" s="11" t="n">
        <v>2</v>
      </c>
      <c r="H1213" s="21" t="n">
        <v>150</v>
      </c>
      <c r="I1213" s="21" t="n">
        <v>82</v>
      </c>
      <c r="J1213" s="22" t="n">
        <v>0.15</v>
      </c>
      <c r="K1213" s="21" t="n">
        <f aca="false">G1213*H1213*(1-J1213)</f>
        <v>255</v>
      </c>
      <c r="L1213" s="21" t="n">
        <f aca="false">G1213*I1213</f>
        <v>164</v>
      </c>
      <c r="M1213" s="21" t="n">
        <f aca="false">K1213-L1213</f>
        <v>91</v>
      </c>
      <c r="N1213" s="11" t="str">
        <f aca="false">TEXT(B1213,"mmm")</f>
        <v>Nov</v>
      </c>
    </row>
    <row r="1214" customFormat="false" ht="15" hidden="false" customHeight="false" outlineLevel="0" collapsed="false">
      <c r="A1214" s="11" t="s">
        <v>1275</v>
      </c>
      <c r="B1214" s="20" t="n">
        <v>45970</v>
      </c>
      <c r="C1214" s="11" t="s">
        <v>22</v>
      </c>
      <c r="D1214" s="11" t="s">
        <v>33</v>
      </c>
      <c r="E1214" s="11" t="s">
        <v>51</v>
      </c>
      <c r="F1214" s="11" t="s">
        <v>44</v>
      </c>
      <c r="G1214" s="11" t="n">
        <v>5</v>
      </c>
      <c r="H1214" s="21" t="n">
        <v>90</v>
      </c>
      <c r="I1214" s="21" t="n">
        <v>58</v>
      </c>
      <c r="J1214" s="22" t="n">
        <v>0</v>
      </c>
      <c r="K1214" s="21" t="n">
        <f aca="false">G1214*H1214*(1-J1214)</f>
        <v>450</v>
      </c>
      <c r="L1214" s="21" t="n">
        <f aca="false">G1214*I1214</f>
        <v>290</v>
      </c>
      <c r="M1214" s="21" t="n">
        <f aca="false">K1214-L1214</f>
        <v>160</v>
      </c>
      <c r="N1214" s="11" t="str">
        <f aca="false">TEXT(B1214,"mmm")</f>
        <v>Nov</v>
      </c>
    </row>
    <row r="1215" customFormat="false" ht="15" hidden="false" customHeight="false" outlineLevel="0" collapsed="false">
      <c r="A1215" s="11" t="s">
        <v>1276</v>
      </c>
      <c r="B1215" s="20" t="n">
        <v>45970</v>
      </c>
      <c r="C1215" s="11" t="s">
        <v>22</v>
      </c>
      <c r="D1215" s="11" t="s">
        <v>37</v>
      </c>
      <c r="E1215" s="11" t="s">
        <v>53</v>
      </c>
      <c r="F1215" s="11" t="s">
        <v>42</v>
      </c>
      <c r="G1215" s="11" t="n">
        <v>32</v>
      </c>
      <c r="H1215" s="21" t="n">
        <v>9</v>
      </c>
      <c r="I1215" s="21" t="n">
        <v>4.5</v>
      </c>
      <c r="J1215" s="22" t="n">
        <v>0.1</v>
      </c>
      <c r="K1215" s="21" t="n">
        <f aca="false">G1215*H1215*(1-J1215)</f>
        <v>259.2</v>
      </c>
      <c r="L1215" s="21" t="n">
        <f aca="false">G1215*I1215</f>
        <v>144</v>
      </c>
      <c r="M1215" s="21" t="n">
        <f aca="false">K1215-L1215</f>
        <v>115.2</v>
      </c>
      <c r="N1215" s="11" t="str">
        <f aca="false">TEXT(B1215,"mmm")</f>
        <v>Nov</v>
      </c>
    </row>
    <row r="1216" customFormat="false" ht="15" hidden="false" customHeight="false" outlineLevel="0" collapsed="false">
      <c r="A1216" s="11" t="s">
        <v>1277</v>
      </c>
      <c r="B1216" s="20" t="n">
        <v>45970</v>
      </c>
      <c r="C1216" s="11" t="s">
        <v>20</v>
      </c>
      <c r="D1216" s="11" t="s">
        <v>33</v>
      </c>
      <c r="E1216" s="11" t="s">
        <v>48</v>
      </c>
      <c r="F1216" s="11" t="s">
        <v>42</v>
      </c>
      <c r="G1216" s="11" t="n">
        <v>4</v>
      </c>
      <c r="H1216" s="21" t="n">
        <v>520</v>
      </c>
      <c r="I1216" s="21" t="n">
        <v>415</v>
      </c>
      <c r="J1216" s="22" t="n">
        <v>0.1</v>
      </c>
      <c r="K1216" s="21" t="n">
        <f aca="false">G1216*H1216*(1-J1216)</f>
        <v>1872</v>
      </c>
      <c r="L1216" s="21" t="n">
        <f aca="false">G1216*I1216</f>
        <v>1660</v>
      </c>
      <c r="M1216" s="21" t="n">
        <f aca="false">K1216-L1216</f>
        <v>212</v>
      </c>
      <c r="N1216" s="11" t="str">
        <f aca="false">TEXT(B1216,"mmm")</f>
        <v>Nov</v>
      </c>
    </row>
    <row r="1217" customFormat="false" ht="15" hidden="false" customHeight="false" outlineLevel="0" collapsed="false">
      <c r="A1217" s="11" t="s">
        <v>1278</v>
      </c>
      <c r="B1217" s="20" t="n">
        <v>45971</v>
      </c>
      <c r="C1217" s="11" t="s">
        <v>18</v>
      </c>
      <c r="D1217" s="11" t="s">
        <v>37</v>
      </c>
      <c r="E1217" s="11" t="s">
        <v>49</v>
      </c>
      <c r="F1217" s="11" t="s">
        <v>42</v>
      </c>
      <c r="G1217" s="11" t="n">
        <v>21</v>
      </c>
      <c r="H1217" s="21" t="n">
        <v>28</v>
      </c>
      <c r="I1217" s="21" t="n">
        <v>17</v>
      </c>
      <c r="J1217" s="22" t="n">
        <v>0.05</v>
      </c>
      <c r="K1217" s="21" t="n">
        <f aca="false">G1217*H1217*(1-J1217)</f>
        <v>558.6</v>
      </c>
      <c r="L1217" s="21" t="n">
        <f aca="false">G1217*I1217</f>
        <v>357</v>
      </c>
      <c r="M1217" s="21" t="n">
        <f aca="false">K1217-L1217</f>
        <v>201.6</v>
      </c>
      <c r="N1217" s="11" t="str">
        <f aca="false">TEXT(B1217,"mmm")</f>
        <v>Nov</v>
      </c>
    </row>
    <row r="1218" customFormat="false" ht="15" hidden="false" customHeight="false" outlineLevel="0" collapsed="false">
      <c r="A1218" s="11" t="s">
        <v>1279</v>
      </c>
      <c r="B1218" s="20" t="n">
        <v>45971</v>
      </c>
      <c r="C1218" s="11" t="s">
        <v>18</v>
      </c>
      <c r="D1218" s="11" t="s">
        <v>33</v>
      </c>
      <c r="E1218" s="11" t="s">
        <v>50</v>
      </c>
      <c r="F1218" s="11" t="s">
        <v>42</v>
      </c>
      <c r="G1218" s="11" t="n">
        <v>3</v>
      </c>
      <c r="H1218" s="21" t="n">
        <v>780</v>
      </c>
      <c r="I1218" s="21" t="n">
        <v>600</v>
      </c>
      <c r="J1218" s="22" t="n">
        <v>0</v>
      </c>
      <c r="K1218" s="21" t="n">
        <f aca="false">G1218*H1218*(1-J1218)</f>
        <v>2340</v>
      </c>
      <c r="L1218" s="21" t="n">
        <f aca="false">G1218*I1218</f>
        <v>1800</v>
      </c>
      <c r="M1218" s="21" t="n">
        <f aca="false">K1218-L1218</f>
        <v>540</v>
      </c>
      <c r="N1218" s="11" t="str">
        <f aca="false">TEXT(B1218,"mmm")</f>
        <v>Nov</v>
      </c>
    </row>
    <row r="1219" customFormat="false" ht="15" hidden="false" customHeight="false" outlineLevel="0" collapsed="false">
      <c r="A1219" s="11" t="s">
        <v>1280</v>
      </c>
      <c r="B1219" s="20" t="n">
        <v>45971</v>
      </c>
      <c r="C1219" s="11" t="s">
        <v>18</v>
      </c>
      <c r="D1219" s="11" t="s">
        <v>37</v>
      </c>
      <c r="E1219" s="11" t="s">
        <v>49</v>
      </c>
      <c r="F1219" s="11" t="s">
        <v>42</v>
      </c>
      <c r="G1219" s="11" t="n">
        <v>27</v>
      </c>
      <c r="H1219" s="21" t="n">
        <v>28</v>
      </c>
      <c r="I1219" s="21" t="n">
        <v>17</v>
      </c>
      <c r="J1219" s="22" t="n">
        <v>0.1</v>
      </c>
      <c r="K1219" s="21" t="n">
        <f aca="false">G1219*H1219*(1-J1219)</f>
        <v>680.4</v>
      </c>
      <c r="L1219" s="21" t="n">
        <f aca="false">G1219*I1219</f>
        <v>459</v>
      </c>
      <c r="M1219" s="21" t="n">
        <f aca="false">K1219-L1219</f>
        <v>221.4</v>
      </c>
      <c r="N1219" s="11" t="str">
        <f aca="false">TEXT(B1219,"mmm")</f>
        <v>Nov</v>
      </c>
    </row>
    <row r="1220" customFormat="false" ht="15" hidden="false" customHeight="false" outlineLevel="0" collapsed="false">
      <c r="A1220" s="11" t="s">
        <v>1281</v>
      </c>
      <c r="B1220" s="20" t="n">
        <v>45971</v>
      </c>
      <c r="C1220" s="11" t="s">
        <v>20</v>
      </c>
      <c r="D1220" s="11" t="s">
        <v>37</v>
      </c>
      <c r="E1220" s="11" t="s">
        <v>52</v>
      </c>
      <c r="F1220" s="11" t="s">
        <v>42</v>
      </c>
      <c r="G1220" s="11" t="n">
        <v>38</v>
      </c>
      <c r="H1220" s="21" t="n">
        <v>12</v>
      </c>
      <c r="I1220" s="21" t="n">
        <v>6</v>
      </c>
      <c r="J1220" s="22" t="n">
        <v>0.05</v>
      </c>
      <c r="K1220" s="21" t="n">
        <f aca="false">G1220*H1220*(1-J1220)</f>
        <v>433.2</v>
      </c>
      <c r="L1220" s="21" t="n">
        <f aca="false">G1220*I1220</f>
        <v>228</v>
      </c>
      <c r="M1220" s="21" t="n">
        <f aca="false">K1220-L1220</f>
        <v>205.2</v>
      </c>
      <c r="N1220" s="11" t="str">
        <f aca="false">TEXT(B1220,"mmm")</f>
        <v>Nov</v>
      </c>
    </row>
    <row r="1221" customFormat="false" ht="15" hidden="false" customHeight="false" outlineLevel="0" collapsed="false">
      <c r="A1221" s="11" t="s">
        <v>1282</v>
      </c>
      <c r="B1221" s="20" t="n">
        <v>45971</v>
      </c>
      <c r="C1221" s="11" t="s">
        <v>22</v>
      </c>
      <c r="D1221" s="11" t="s">
        <v>33</v>
      </c>
      <c r="E1221" s="11" t="s">
        <v>51</v>
      </c>
      <c r="F1221" s="11" t="s">
        <v>42</v>
      </c>
      <c r="G1221" s="11" t="n">
        <v>3</v>
      </c>
      <c r="H1221" s="21" t="n">
        <v>90</v>
      </c>
      <c r="I1221" s="21" t="n">
        <v>58</v>
      </c>
      <c r="J1221" s="22" t="n">
        <v>0.1</v>
      </c>
      <c r="K1221" s="21" t="n">
        <f aca="false">G1221*H1221*(1-J1221)</f>
        <v>243</v>
      </c>
      <c r="L1221" s="21" t="n">
        <f aca="false">G1221*I1221</f>
        <v>174</v>
      </c>
      <c r="M1221" s="21" t="n">
        <f aca="false">K1221-L1221</f>
        <v>69</v>
      </c>
      <c r="N1221" s="11" t="str">
        <f aca="false">TEXT(B1221,"mmm")</f>
        <v>Nov</v>
      </c>
    </row>
    <row r="1222" customFormat="false" ht="15" hidden="false" customHeight="false" outlineLevel="0" collapsed="false">
      <c r="A1222" s="11" t="s">
        <v>1283</v>
      </c>
      <c r="B1222" s="20" t="n">
        <v>45972</v>
      </c>
      <c r="C1222" s="11" t="s">
        <v>24</v>
      </c>
      <c r="D1222" s="11" t="s">
        <v>37</v>
      </c>
      <c r="E1222" s="11" t="s">
        <v>53</v>
      </c>
      <c r="F1222" s="11" t="s">
        <v>42</v>
      </c>
      <c r="G1222" s="11" t="n">
        <v>12</v>
      </c>
      <c r="H1222" s="21" t="n">
        <v>9</v>
      </c>
      <c r="I1222" s="21" t="n">
        <v>4.5</v>
      </c>
      <c r="J1222" s="22" t="n">
        <v>0.05</v>
      </c>
      <c r="K1222" s="21" t="n">
        <f aca="false">G1222*H1222*(1-J1222)</f>
        <v>102.6</v>
      </c>
      <c r="L1222" s="21" t="n">
        <f aca="false">G1222*I1222</f>
        <v>54</v>
      </c>
      <c r="M1222" s="21" t="n">
        <f aca="false">K1222-L1222</f>
        <v>48.6</v>
      </c>
      <c r="N1222" s="11" t="str">
        <f aca="false">TEXT(B1222,"mmm")</f>
        <v>Nov</v>
      </c>
    </row>
    <row r="1223" customFormat="false" ht="15" hidden="false" customHeight="false" outlineLevel="0" collapsed="false">
      <c r="A1223" s="11" t="s">
        <v>1284</v>
      </c>
      <c r="B1223" s="20" t="n">
        <v>45972</v>
      </c>
      <c r="C1223" s="11" t="s">
        <v>20</v>
      </c>
      <c r="D1223" s="11" t="s">
        <v>33</v>
      </c>
      <c r="E1223" s="11" t="s">
        <v>51</v>
      </c>
      <c r="F1223" s="11" t="s">
        <v>42</v>
      </c>
      <c r="G1223" s="11" t="n">
        <v>4</v>
      </c>
      <c r="H1223" s="21" t="n">
        <v>90</v>
      </c>
      <c r="I1223" s="21" t="n">
        <v>58</v>
      </c>
      <c r="J1223" s="22" t="n">
        <v>0.05</v>
      </c>
      <c r="K1223" s="21" t="n">
        <f aca="false">G1223*H1223*(1-J1223)</f>
        <v>342</v>
      </c>
      <c r="L1223" s="21" t="n">
        <f aca="false">G1223*I1223</f>
        <v>232</v>
      </c>
      <c r="M1223" s="21" t="n">
        <f aca="false">K1223-L1223</f>
        <v>110</v>
      </c>
      <c r="N1223" s="11" t="str">
        <f aca="false">TEXT(B1223,"mmm")</f>
        <v>Nov</v>
      </c>
    </row>
    <row r="1224" customFormat="false" ht="15" hidden="false" customHeight="false" outlineLevel="0" collapsed="false">
      <c r="A1224" s="11" t="s">
        <v>1285</v>
      </c>
      <c r="B1224" s="20" t="n">
        <v>45972</v>
      </c>
      <c r="C1224" s="11" t="s">
        <v>18</v>
      </c>
      <c r="D1224" s="11" t="s">
        <v>33</v>
      </c>
      <c r="E1224" s="11" t="s">
        <v>51</v>
      </c>
      <c r="F1224" s="11" t="s">
        <v>42</v>
      </c>
      <c r="G1224" s="11" t="n">
        <v>6</v>
      </c>
      <c r="H1224" s="21" t="n">
        <v>90</v>
      </c>
      <c r="I1224" s="21" t="n">
        <v>58</v>
      </c>
      <c r="J1224" s="22" t="n">
        <v>0.1</v>
      </c>
      <c r="K1224" s="21" t="n">
        <f aca="false">G1224*H1224*(1-J1224)</f>
        <v>486</v>
      </c>
      <c r="L1224" s="21" t="n">
        <f aca="false">G1224*I1224</f>
        <v>348</v>
      </c>
      <c r="M1224" s="21" t="n">
        <f aca="false">K1224-L1224</f>
        <v>138</v>
      </c>
      <c r="N1224" s="11" t="str">
        <f aca="false">TEXT(B1224,"mmm")</f>
        <v>Nov</v>
      </c>
    </row>
    <row r="1225" customFormat="false" ht="15" hidden="false" customHeight="false" outlineLevel="0" collapsed="false">
      <c r="A1225" s="11" t="s">
        <v>1286</v>
      </c>
      <c r="B1225" s="20" t="n">
        <v>45973</v>
      </c>
      <c r="C1225" s="11" t="s">
        <v>18</v>
      </c>
      <c r="D1225" s="11" t="s">
        <v>33</v>
      </c>
      <c r="E1225" s="11" t="s">
        <v>50</v>
      </c>
      <c r="F1225" s="11" t="s">
        <v>42</v>
      </c>
      <c r="G1225" s="11" t="n">
        <v>3</v>
      </c>
      <c r="H1225" s="21" t="n">
        <v>780</v>
      </c>
      <c r="I1225" s="21" t="n">
        <v>600</v>
      </c>
      <c r="J1225" s="22" t="n">
        <v>0.05</v>
      </c>
      <c r="K1225" s="21" t="n">
        <f aca="false">G1225*H1225*(1-J1225)</f>
        <v>2223</v>
      </c>
      <c r="L1225" s="21" t="n">
        <f aca="false">G1225*I1225</f>
        <v>1800</v>
      </c>
      <c r="M1225" s="21" t="n">
        <f aca="false">K1225-L1225</f>
        <v>423</v>
      </c>
      <c r="N1225" s="11" t="str">
        <f aca="false">TEXT(B1225,"mmm")</f>
        <v>Nov</v>
      </c>
    </row>
    <row r="1226" customFormat="false" ht="15" hidden="false" customHeight="false" outlineLevel="0" collapsed="false">
      <c r="A1226" s="11" t="s">
        <v>1287</v>
      </c>
      <c r="B1226" s="20" t="n">
        <v>45973</v>
      </c>
      <c r="C1226" s="11" t="s">
        <v>22</v>
      </c>
      <c r="D1226" s="11" t="s">
        <v>37</v>
      </c>
      <c r="E1226" s="11" t="s">
        <v>49</v>
      </c>
      <c r="F1226" s="11" t="s">
        <v>45</v>
      </c>
      <c r="G1226" s="11" t="n">
        <v>18</v>
      </c>
      <c r="H1226" s="21" t="n">
        <v>28</v>
      </c>
      <c r="I1226" s="21" t="n">
        <v>17</v>
      </c>
      <c r="J1226" s="22" t="n">
        <v>0.1</v>
      </c>
      <c r="K1226" s="21" t="n">
        <f aca="false">G1226*H1226*(1-J1226)</f>
        <v>453.6</v>
      </c>
      <c r="L1226" s="21" t="n">
        <f aca="false">G1226*I1226</f>
        <v>306</v>
      </c>
      <c r="M1226" s="21" t="n">
        <f aca="false">K1226-L1226</f>
        <v>147.6</v>
      </c>
      <c r="N1226" s="11" t="str">
        <f aca="false">TEXT(B1226,"mmm")</f>
        <v>Nov</v>
      </c>
    </row>
    <row r="1227" customFormat="false" ht="15" hidden="false" customHeight="false" outlineLevel="0" collapsed="false">
      <c r="A1227" s="11" t="s">
        <v>1288</v>
      </c>
      <c r="B1227" s="20" t="n">
        <v>45973</v>
      </c>
      <c r="C1227" s="11" t="s">
        <v>24</v>
      </c>
      <c r="D1227" s="11" t="s">
        <v>35</v>
      </c>
      <c r="E1227" s="11" t="s">
        <v>55</v>
      </c>
      <c r="F1227" s="11" t="s">
        <v>44</v>
      </c>
      <c r="G1227" s="11" t="n">
        <v>2</v>
      </c>
      <c r="H1227" s="21" t="n">
        <v>150</v>
      </c>
      <c r="I1227" s="21" t="n">
        <v>82</v>
      </c>
      <c r="J1227" s="22" t="n">
        <v>0</v>
      </c>
      <c r="K1227" s="21" t="n">
        <f aca="false">G1227*H1227*(1-J1227)</f>
        <v>300</v>
      </c>
      <c r="L1227" s="21" t="n">
        <f aca="false">G1227*I1227</f>
        <v>164</v>
      </c>
      <c r="M1227" s="21" t="n">
        <f aca="false">K1227-L1227</f>
        <v>136</v>
      </c>
      <c r="N1227" s="11" t="str">
        <f aca="false">TEXT(B1227,"mmm")</f>
        <v>Nov</v>
      </c>
    </row>
    <row r="1228" customFormat="false" ht="15" hidden="false" customHeight="false" outlineLevel="0" collapsed="false">
      <c r="A1228" s="11" t="s">
        <v>1289</v>
      </c>
      <c r="B1228" s="20" t="n">
        <v>45973</v>
      </c>
      <c r="C1228" s="11" t="s">
        <v>20</v>
      </c>
      <c r="D1228" s="11" t="s">
        <v>37</v>
      </c>
      <c r="E1228" s="11" t="s">
        <v>52</v>
      </c>
      <c r="F1228" s="11" t="s">
        <v>44</v>
      </c>
      <c r="G1228" s="11" t="n">
        <v>29</v>
      </c>
      <c r="H1228" s="21" t="n">
        <v>12</v>
      </c>
      <c r="I1228" s="21" t="n">
        <v>6</v>
      </c>
      <c r="J1228" s="22" t="n">
        <v>0.1</v>
      </c>
      <c r="K1228" s="21" t="n">
        <f aca="false">G1228*H1228*(1-J1228)</f>
        <v>313.2</v>
      </c>
      <c r="L1228" s="21" t="n">
        <f aca="false">G1228*I1228</f>
        <v>174</v>
      </c>
      <c r="M1228" s="21" t="n">
        <f aca="false">K1228-L1228</f>
        <v>139.2</v>
      </c>
      <c r="N1228" s="11" t="str">
        <f aca="false">TEXT(B1228,"mmm")</f>
        <v>Nov</v>
      </c>
    </row>
    <row r="1229" customFormat="false" ht="15" hidden="false" customHeight="false" outlineLevel="0" collapsed="false">
      <c r="A1229" s="11" t="s">
        <v>1290</v>
      </c>
      <c r="B1229" s="20" t="n">
        <v>45973</v>
      </c>
      <c r="C1229" s="11" t="s">
        <v>20</v>
      </c>
      <c r="D1229" s="11" t="s">
        <v>35</v>
      </c>
      <c r="E1229" s="11" t="s">
        <v>55</v>
      </c>
      <c r="F1229" s="11" t="s">
        <v>44</v>
      </c>
      <c r="G1229" s="11" t="n">
        <v>2</v>
      </c>
      <c r="H1229" s="21" t="n">
        <v>150</v>
      </c>
      <c r="I1229" s="21" t="n">
        <v>82</v>
      </c>
      <c r="J1229" s="22" t="n">
        <v>0</v>
      </c>
      <c r="K1229" s="21" t="n">
        <f aca="false">G1229*H1229*(1-J1229)</f>
        <v>300</v>
      </c>
      <c r="L1229" s="21" t="n">
        <f aca="false">G1229*I1229</f>
        <v>164</v>
      </c>
      <c r="M1229" s="21" t="n">
        <f aca="false">K1229-L1229</f>
        <v>136</v>
      </c>
      <c r="N1229" s="11" t="str">
        <f aca="false">TEXT(B1229,"mmm")</f>
        <v>Nov</v>
      </c>
    </row>
    <row r="1230" customFormat="false" ht="15" hidden="false" customHeight="false" outlineLevel="0" collapsed="false">
      <c r="A1230" s="11" t="s">
        <v>1291</v>
      </c>
      <c r="B1230" s="20" t="n">
        <v>45973</v>
      </c>
      <c r="C1230" s="11" t="s">
        <v>24</v>
      </c>
      <c r="D1230" s="11" t="s">
        <v>37</v>
      </c>
      <c r="E1230" s="11" t="s">
        <v>53</v>
      </c>
      <c r="F1230" s="11" t="s">
        <v>42</v>
      </c>
      <c r="G1230" s="11" t="n">
        <v>9</v>
      </c>
      <c r="H1230" s="21" t="n">
        <v>9</v>
      </c>
      <c r="I1230" s="21" t="n">
        <v>4.5</v>
      </c>
      <c r="J1230" s="22" t="n">
        <v>0</v>
      </c>
      <c r="K1230" s="21" t="n">
        <f aca="false">G1230*H1230*(1-J1230)</f>
        <v>81</v>
      </c>
      <c r="L1230" s="21" t="n">
        <f aca="false">G1230*I1230</f>
        <v>40.5</v>
      </c>
      <c r="M1230" s="21" t="n">
        <f aca="false">K1230-L1230</f>
        <v>40.5</v>
      </c>
      <c r="N1230" s="11" t="str">
        <f aca="false">TEXT(B1230,"mmm")</f>
        <v>Nov</v>
      </c>
    </row>
    <row r="1231" customFormat="false" ht="15" hidden="false" customHeight="false" outlineLevel="0" collapsed="false">
      <c r="A1231" s="11" t="s">
        <v>1292</v>
      </c>
      <c r="B1231" s="20" t="n">
        <v>45973</v>
      </c>
      <c r="C1231" s="11" t="s">
        <v>20</v>
      </c>
      <c r="D1231" s="11" t="s">
        <v>37</v>
      </c>
      <c r="E1231" s="11" t="s">
        <v>53</v>
      </c>
      <c r="F1231" s="11" t="s">
        <v>44</v>
      </c>
      <c r="G1231" s="11" t="n">
        <v>11</v>
      </c>
      <c r="H1231" s="21" t="n">
        <v>9</v>
      </c>
      <c r="I1231" s="21" t="n">
        <v>4.5</v>
      </c>
      <c r="J1231" s="22" t="n">
        <v>0.05</v>
      </c>
      <c r="K1231" s="21" t="n">
        <f aca="false">G1231*H1231*(1-J1231)</f>
        <v>94.05</v>
      </c>
      <c r="L1231" s="21" t="n">
        <f aca="false">G1231*I1231</f>
        <v>49.5</v>
      </c>
      <c r="M1231" s="21" t="n">
        <f aca="false">K1231-L1231</f>
        <v>44.55</v>
      </c>
      <c r="N1231" s="11" t="str">
        <f aca="false">TEXT(B1231,"mmm")</f>
        <v>Nov</v>
      </c>
    </row>
    <row r="1232" customFormat="false" ht="15" hidden="false" customHeight="false" outlineLevel="0" collapsed="false">
      <c r="A1232" s="11" t="s">
        <v>1293</v>
      </c>
      <c r="B1232" s="20" t="n">
        <v>45973</v>
      </c>
      <c r="C1232" s="11" t="s">
        <v>22</v>
      </c>
      <c r="D1232" s="11" t="s">
        <v>33</v>
      </c>
      <c r="E1232" s="11" t="s">
        <v>50</v>
      </c>
      <c r="F1232" s="11" t="s">
        <v>42</v>
      </c>
      <c r="G1232" s="11" t="n">
        <v>2</v>
      </c>
      <c r="H1232" s="21" t="n">
        <v>780</v>
      </c>
      <c r="I1232" s="21" t="n">
        <v>600</v>
      </c>
      <c r="J1232" s="22" t="n">
        <v>0.15</v>
      </c>
      <c r="K1232" s="21" t="n">
        <f aca="false">G1232*H1232*(1-J1232)</f>
        <v>1326</v>
      </c>
      <c r="L1232" s="21" t="n">
        <f aca="false">G1232*I1232</f>
        <v>1200</v>
      </c>
      <c r="M1232" s="21" t="n">
        <f aca="false">K1232-L1232</f>
        <v>126</v>
      </c>
      <c r="N1232" s="11" t="str">
        <f aca="false">TEXT(B1232,"mmm")</f>
        <v>Nov</v>
      </c>
    </row>
    <row r="1233" customFormat="false" ht="15" hidden="false" customHeight="false" outlineLevel="0" collapsed="false">
      <c r="A1233" s="11" t="s">
        <v>1294</v>
      </c>
      <c r="B1233" s="20" t="n">
        <v>45973</v>
      </c>
      <c r="C1233" s="11" t="s">
        <v>20</v>
      </c>
      <c r="D1233" s="11" t="s">
        <v>37</v>
      </c>
      <c r="E1233" s="11" t="s">
        <v>53</v>
      </c>
      <c r="F1233" s="11" t="s">
        <v>45</v>
      </c>
      <c r="G1233" s="11" t="n">
        <v>12</v>
      </c>
      <c r="H1233" s="21" t="n">
        <v>9</v>
      </c>
      <c r="I1233" s="21" t="n">
        <v>4.5</v>
      </c>
      <c r="J1233" s="22" t="n">
        <v>0.2</v>
      </c>
      <c r="K1233" s="21" t="n">
        <f aca="false">G1233*H1233*(1-J1233)</f>
        <v>86.4</v>
      </c>
      <c r="L1233" s="21" t="n">
        <f aca="false">G1233*I1233</f>
        <v>54</v>
      </c>
      <c r="M1233" s="21" t="n">
        <f aca="false">K1233-L1233</f>
        <v>32.4</v>
      </c>
      <c r="N1233" s="11" t="str">
        <f aca="false">TEXT(B1233,"mmm")</f>
        <v>Nov</v>
      </c>
    </row>
    <row r="1234" customFormat="false" ht="15" hidden="false" customHeight="false" outlineLevel="0" collapsed="false">
      <c r="A1234" s="11" t="s">
        <v>1295</v>
      </c>
      <c r="B1234" s="20" t="n">
        <v>45974</v>
      </c>
      <c r="C1234" s="11" t="s">
        <v>24</v>
      </c>
      <c r="D1234" s="11" t="s">
        <v>37</v>
      </c>
      <c r="E1234" s="11" t="s">
        <v>53</v>
      </c>
      <c r="F1234" s="11" t="s">
        <v>44</v>
      </c>
      <c r="G1234" s="11" t="n">
        <v>32</v>
      </c>
      <c r="H1234" s="21" t="n">
        <v>9</v>
      </c>
      <c r="I1234" s="21" t="n">
        <v>4.5</v>
      </c>
      <c r="J1234" s="22" t="n">
        <v>0.1</v>
      </c>
      <c r="K1234" s="21" t="n">
        <f aca="false">G1234*H1234*(1-J1234)</f>
        <v>259.2</v>
      </c>
      <c r="L1234" s="21" t="n">
        <f aca="false">G1234*I1234</f>
        <v>144</v>
      </c>
      <c r="M1234" s="21" t="n">
        <f aca="false">K1234-L1234</f>
        <v>115.2</v>
      </c>
      <c r="N1234" s="11" t="str">
        <f aca="false">TEXT(B1234,"mmm")</f>
        <v>Nov</v>
      </c>
    </row>
    <row r="1235" customFormat="false" ht="15" hidden="false" customHeight="false" outlineLevel="0" collapsed="false">
      <c r="A1235" s="11" t="s">
        <v>1296</v>
      </c>
      <c r="B1235" s="20" t="n">
        <v>45974</v>
      </c>
      <c r="C1235" s="11" t="s">
        <v>18</v>
      </c>
      <c r="D1235" s="11" t="s">
        <v>37</v>
      </c>
      <c r="E1235" s="11" t="s">
        <v>49</v>
      </c>
      <c r="F1235" s="11" t="s">
        <v>42</v>
      </c>
      <c r="G1235" s="11" t="n">
        <v>21</v>
      </c>
      <c r="H1235" s="21" t="n">
        <v>28</v>
      </c>
      <c r="I1235" s="21" t="n">
        <v>17</v>
      </c>
      <c r="J1235" s="22" t="n">
        <v>0</v>
      </c>
      <c r="K1235" s="21" t="n">
        <f aca="false">G1235*H1235*(1-J1235)</f>
        <v>588</v>
      </c>
      <c r="L1235" s="21" t="n">
        <f aca="false">G1235*I1235</f>
        <v>357</v>
      </c>
      <c r="M1235" s="21" t="n">
        <f aca="false">K1235-L1235</f>
        <v>231</v>
      </c>
      <c r="N1235" s="11" t="str">
        <f aca="false">TEXT(B1235,"mmm")</f>
        <v>Nov</v>
      </c>
    </row>
    <row r="1236" customFormat="false" ht="15" hidden="false" customHeight="false" outlineLevel="0" collapsed="false">
      <c r="A1236" s="11" t="s">
        <v>1297</v>
      </c>
      <c r="B1236" s="20" t="n">
        <v>45974</v>
      </c>
      <c r="C1236" s="11" t="s">
        <v>18</v>
      </c>
      <c r="D1236" s="11" t="s">
        <v>33</v>
      </c>
      <c r="E1236" s="11" t="s">
        <v>51</v>
      </c>
      <c r="F1236" s="11" t="s">
        <v>42</v>
      </c>
      <c r="G1236" s="11" t="n">
        <v>3</v>
      </c>
      <c r="H1236" s="21" t="n">
        <v>90</v>
      </c>
      <c r="I1236" s="21" t="n">
        <v>58</v>
      </c>
      <c r="J1236" s="22" t="n">
        <v>0.05</v>
      </c>
      <c r="K1236" s="21" t="n">
        <f aca="false">G1236*H1236*(1-J1236)</f>
        <v>256.5</v>
      </c>
      <c r="L1236" s="21" t="n">
        <f aca="false">G1236*I1236</f>
        <v>174</v>
      </c>
      <c r="M1236" s="21" t="n">
        <f aca="false">K1236-L1236</f>
        <v>82.5</v>
      </c>
      <c r="N1236" s="11" t="str">
        <f aca="false">TEXT(B1236,"mmm")</f>
        <v>Nov</v>
      </c>
    </row>
    <row r="1237" customFormat="false" ht="15" hidden="false" customHeight="false" outlineLevel="0" collapsed="false">
      <c r="A1237" s="11" t="s">
        <v>1298</v>
      </c>
      <c r="B1237" s="20" t="n">
        <v>45974</v>
      </c>
      <c r="C1237" s="11" t="s">
        <v>22</v>
      </c>
      <c r="D1237" s="11" t="s">
        <v>37</v>
      </c>
      <c r="E1237" s="11" t="s">
        <v>49</v>
      </c>
      <c r="F1237" s="11" t="s">
        <v>45</v>
      </c>
      <c r="G1237" s="11" t="n">
        <v>45</v>
      </c>
      <c r="H1237" s="21" t="n">
        <v>28</v>
      </c>
      <c r="I1237" s="21" t="n">
        <v>17</v>
      </c>
      <c r="J1237" s="22" t="n">
        <v>0.15</v>
      </c>
      <c r="K1237" s="21" t="n">
        <f aca="false">G1237*H1237*(1-J1237)</f>
        <v>1071</v>
      </c>
      <c r="L1237" s="21" t="n">
        <f aca="false">G1237*I1237</f>
        <v>765</v>
      </c>
      <c r="M1237" s="21" t="n">
        <f aca="false">K1237-L1237</f>
        <v>306</v>
      </c>
      <c r="N1237" s="11" t="str">
        <f aca="false">TEXT(B1237,"mmm")</f>
        <v>Nov</v>
      </c>
    </row>
    <row r="1238" customFormat="false" ht="15" hidden="false" customHeight="false" outlineLevel="0" collapsed="false">
      <c r="A1238" s="11" t="s">
        <v>1299</v>
      </c>
      <c r="B1238" s="20" t="n">
        <v>45974</v>
      </c>
      <c r="C1238" s="11" t="s">
        <v>22</v>
      </c>
      <c r="D1238" s="11" t="s">
        <v>37</v>
      </c>
      <c r="E1238" s="11" t="s">
        <v>52</v>
      </c>
      <c r="F1238" s="11" t="s">
        <v>45</v>
      </c>
      <c r="G1238" s="11" t="n">
        <v>9</v>
      </c>
      <c r="H1238" s="21" t="n">
        <v>12</v>
      </c>
      <c r="I1238" s="21" t="n">
        <v>6</v>
      </c>
      <c r="J1238" s="22" t="n">
        <v>0.1</v>
      </c>
      <c r="K1238" s="21" t="n">
        <f aca="false">G1238*H1238*(1-J1238)</f>
        <v>97.2</v>
      </c>
      <c r="L1238" s="21" t="n">
        <f aca="false">G1238*I1238</f>
        <v>54</v>
      </c>
      <c r="M1238" s="21" t="n">
        <f aca="false">K1238-L1238</f>
        <v>43.2</v>
      </c>
      <c r="N1238" s="11" t="str">
        <f aca="false">TEXT(B1238,"mmm")</f>
        <v>Nov</v>
      </c>
    </row>
    <row r="1239" customFormat="false" ht="15" hidden="false" customHeight="false" outlineLevel="0" collapsed="false">
      <c r="A1239" s="11" t="s">
        <v>1300</v>
      </c>
      <c r="B1239" s="20" t="n">
        <v>45974</v>
      </c>
      <c r="C1239" s="11" t="s">
        <v>18</v>
      </c>
      <c r="D1239" s="11" t="s">
        <v>37</v>
      </c>
      <c r="E1239" s="11" t="s">
        <v>49</v>
      </c>
      <c r="F1239" s="11" t="s">
        <v>42</v>
      </c>
      <c r="G1239" s="11" t="n">
        <v>28</v>
      </c>
      <c r="H1239" s="21" t="n">
        <v>28</v>
      </c>
      <c r="I1239" s="21" t="n">
        <v>17</v>
      </c>
      <c r="J1239" s="22" t="n">
        <v>0.15</v>
      </c>
      <c r="K1239" s="21" t="n">
        <f aca="false">G1239*H1239*(1-J1239)</f>
        <v>666.4</v>
      </c>
      <c r="L1239" s="21" t="n">
        <f aca="false">G1239*I1239</f>
        <v>476</v>
      </c>
      <c r="M1239" s="21" t="n">
        <f aca="false">K1239-L1239</f>
        <v>190.4</v>
      </c>
      <c r="N1239" s="11" t="str">
        <f aca="false">TEXT(B1239,"mmm")</f>
        <v>Nov</v>
      </c>
    </row>
    <row r="1240" customFormat="false" ht="15" hidden="false" customHeight="false" outlineLevel="0" collapsed="false">
      <c r="A1240" s="11" t="s">
        <v>1301</v>
      </c>
      <c r="B1240" s="20" t="n">
        <v>45974</v>
      </c>
      <c r="C1240" s="11" t="s">
        <v>18</v>
      </c>
      <c r="D1240" s="11" t="s">
        <v>37</v>
      </c>
      <c r="E1240" s="11" t="s">
        <v>52</v>
      </c>
      <c r="F1240" s="11" t="s">
        <v>42</v>
      </c>
      <c r="G1240" s="11" t="n">
        <v>9</v>
      </c>
      <c r="H1240" s="21" t="n">
        <v>12</v>
      </c>
      <c r="I1240" s="21" t="n">
        <v>6</v>
      </c>
      <c r="J1240" s="22" t="n">
        <v>0.05</v>
      </c>
      <c r="K1240" s="21" t="n">
        <f aca="false">G1240*H1240*(1-J1240)</f>
        <v>102.6</v>
      </c>
      <c r="L1240" s="21" t="n">
        <f aca="false">G1240*I1240</f>
        <v>54</v>
      </c>
      <c r="M1240" s="21" t="n">
        <f aca="false">K1240-L1240</f>
        <v>48.6</v>
      </c>
      <c r="N1240" s="11" t="str">
        <f aca="false">TEXT(B1240,"mmm")</f>
        <v>Nov</v>
      </c>
    </row>
    <row r="1241" customFormat="false" ht="15" hidden="false" customHeight="false" outlineLevel="0" collapsed="false">
      <c r="A1241" s="11" t="s">
        <v>1302</v>
      </c>
      <c r="B1241" s="20" t="n">
        <v>45974</v>
      </c>
      <c r="C1241" s="11" t="s">
        <v>20</v>
      </c>
      <c r="D1241" s="11" t="s">
        <v>33</v>
      </c>
      <c r="E1241" s="11" t="s">
        <v>50</v>
      </c>
      <c r="F1241" s="11" t="s">
        <v>42</v>
      </c>
      <c r="G1241" s="11" t="n">
        <v>3</v>
      </c>
      <c r="H1241" s="21" t="n">
        <v>780</v>
      </c>
      <c r="I1241" s="21" t="n">
        <v>600</v>
      </c>
      <c r="J1241" s="22" t="n">
        <v>0</v>
      </c>
      <c r="K1241" s="21" t="n">
        <f aca="false">G1241*H1241*(1-J1241)</f>
        <v>2340</v>
      </c>
      <c r="L1241" s="21" t="n">
        <f aca="false">G1241*I1241</f>
        <v>1800</v>
      </c>
      <c r="M1241" s="21" t="n">
        <f aca="false">K1241-L1241</f>
        <v>540</v>
      </c>
      <c r="N1241" s="11" t="str">
        <f aca="false">TEXT(B1241,"mmm")</f>
        <v>Nov</v>
      </c>
    </row>
    <row r="1242" customFormat="false" ht="15" hidden="false" customHeight="false" outlineLevel="0" collapsed="false">
      <c r="A1242" s="11" t="s">
        <v>1303</v>
      </c>
      <c r="B1242" s="20" t="n">
        <v>45974</v>
      </c>
      <c r="C1242" s="11" t="s">
        <v>18</v>
      </c>
      <c r="D1242" s="11" t="s">
        <v>33</v>
      </c>
      <c r="E1242" s="11" t="s">
        <v>48</v>
      </c>
      <c r="F1242" s="11" t="s">
        <v>44</v>
      </c>
      <c r="G1242" s="11" t="n">
        <v>1</v>
      </c>
      <c r="H1242" s="21" t="n">
        <v>520</v>
      </c>
      <c r="I1242" s="21" t="n">
        <v>415</v>
      </c>
      <c r="J1242" s="22" t="n">
        <v>0.05</v>
      </c>
      <c r="K1242" s="21" t="n">
        <f aca="false">G1242*H1242*(1-J1242)</f>
        <v>494</v>
      </c>
      <c r="L1242" s="21" t="n">
        <f aca="false">G1242*I1242</f>
        <v>415</v>
      </c>
      <c r="M1242" s="21" t="n">
        <f aca="false">K1242-L1242</f>
        <v>79</v>
      </c>
      <c r="N1242" s="11" t="str">
        <f aca="false">TEXT(B1242,"mmm")</f>
        <v>Nov</v>
      </c>
    </row>
    <row r="1243" customFormat="false" ht="15" hidden="false" customHeight="false" outlineLevel="0" collapsed="false">
      <c r="A1243" s="11" t="s">
        <v>1304</v>
      </c>
      <c r="B1243" s="20" t="n">
        <v>45975</v>
      </c>
      <c r="C1243" s="11" t="s">
        <v>24</v>
      </c>
      <c r="D1243" s="11" t="s">
        <v>37</v>
      </c>
      <c r="E1243" s="11" t="s">
        <v>52</v>
      </c>
      <c r="F1243" s="11" t="s">
        <v>42</v>
      </c>
      <c r="G1243" s="11" t="n">
        <v>39</v>
      </c>
      <c r="H1243" s="21" t="n">
        <v>12</v>
      </c>
      <c r="I1243" s="21" t="n">
        <v>6</v>
      </c>
      <c r="J1243" s="22" t="n">
        <v>0.15</v>
      </c>
      <c r="K1243" s="21" t="n">
        <f aca="false">G1243*H1243*(1-J1243)</f>
        <v>397.8</v>
      </c>
      <c r="L1243" s="21" t="n">
        <f aca="false">G1243*I1243</f>
        <v>234</v>
      </c>
      <c r="M1243" s="21" t="n">
        <f aca="false">K1243-L1243</f>
        <v>163.8</v>
      </c>
      <c r="N1243" s="11" t="str">
        <f aca="false">TEXT(B1243,"mmm")</f>
        <v>Nov</v>
      </c>
    </row>
    <row r="1244" customFormat="false" ht="15" hidden="false" customHeight="false" outlineLevel="0" collapsed="false">
      <c r="A1244" s="11" t="s">
        <v>1305</v>
      </c>
      <c r="B1244" s="20" t="n">
        <v>45975</v>
      </c>
      <c r="C1244" s="11" t="s">
        <v>20</v>
      </c>
      <c r="D1244" s="11" t="s">
        <v>37</v>
      </c>
      <c r="E1244" s="11" t="s">
        <v>52</v>
      </c>
      <c r="F1244" s="11" t="s">
        <v>42</v>
      </c>
      <c r="G1244" s="11" t="n">
        <v>2</v>
      </c>
      <c r="H1244" s="21" t="n">
        <v>12</v>
      </c>
      <c r="I1244" s="21" t="n">
        <v>6</v>
      </c>
      <c r="J1244" s="22" t="n">
        <v>0.05</v>
      </c>
      <c r="K1244" s="21" t="n">
        <f aca="false">G1244*H1244*(1-J1244)</f>
        <v>22.8</v>
      </c>
      <c r="L1244" s="21" t="n">
        <f aca="false">G1244*I1244</f>
        <v>12</v>
      </c>
      <c r="M1244" s="21" t="n">
        <f aca="false">K1244-L1244</f>
        <v>10.8</v>
      </c>
      <c r="N1244" s="11" t="str">
        <f aca="false">TEXT(B1244,"mmm")</f>
        <v>Nov</v>
      </c>
    </row>
    <row r="1245" customFormat="false" ht="15" hidden="false" customHeight="false" outlineLevel="0" collapsed="false">
      <c r="A1245" s="11" t="s">
        <v>1306</v>
      </c>
      <c r="B1245" s="20" t="n">
        <v>45975</v>
      </c>
      <c r="C1245" s="11" t="s">
        <v>18</v>
      </c>
      <c r="D1245" s="11" t="s">
        <v>37</v>
      </c>
      <c r="E1245" s="11" t="s">
        <v>52</v>
      </c>
      <c r="F1245" s="11" t="s">
        <v>45</v>
      </c>
      <c r="G1245" s="11" t="n">
        <v>90</v>
      </c>
      <c r="H1245" s="21" t="n">
        <v>12</v>
      </c>
      <c r="I1245" s="21" t="n">
        <v>6</v>
      </c>
      <c r="J1245" s="22" t="n">
        <v>0.15</v>
      </c>
      <c r="K1245" s="21" t="n">
        <f aca="false">G1245*H1245*(1-J1245)</f>
        <v>918</v>
      </c>
      <c r="L1245" s="21" t="n">
        <f aca="false">G1245*I1245</f>
        <v>540</v>
      </c>
      <c r="M1245" s="21" t="n">
        <f aca="false">K1245-L1245</f>
        <v>378</v>
      </c>
      <c r="N1245" s="11" t="str">
        <f aca="false">TEXT(B1245,"mmm")</f>
        <v>Nov</v>
      </c>
    </row>
    <row r="1246" customFormat="false" ht="15" hidden="false" customHeight="false" outlineLevel="0" collapsed="false">
      <c r="A1246" s="11" t="s">
        <v>1307</v>
      </c>
      <c r="B1246" s="20" t="n">
        <v>45976</v>
      </c>
      <c r="C1246" s="11" t="s">
        <v>18</v>
      </c>
      <c r="D1246" s="11" t="s">
        <v>37</v>
      </c>
      <c r="E1246" s="11" t="s">
        <v>49</v>
      </c>
      <c r="F1246" s="11" t="s">
        <v>42</v>
      </c>
      <c r="G1246" s="11" t="n">
        <v>6</v>
      </c>
      <c r="H1246" s="21" t="n">
        <v>28</v>
      </c>
      <c r="I1246" s="21" t="n">
        <v>17</v>
      </c>
      <c r="J1246" s="22" t="n">
        <v>0.15</v>
      </c>
      <c r="K1246" s="21" t="n">
        <f aca="false">G1246*H1246*(1-J1246)</f>
        <v>142.8</v>
      </c>
      <c r="L1246" s="21" t="n">
        <f aca="false">G1246*I1246</f>
        <v>102</v>
      </c>
      <c r="M1246" s="21" t="n">
        <f aca="false">K1246-L1246</f>
        <v>40.8</v>
      </c>
      <c r="N1246" s="11" t="str">
        <f aca="false">TEXT(B1246,"mmm")</f>
        <v>Nov</v>
      </c>
    </row>
    <row r="1247" customFormat="false" ht="15" hidden="false" customHeight="false" outlineLevel="0" collapsed="false">
      <c r="A1247" s="11" t="s">
        <v>1308</v>
      </c>
      <c r="B1247" s="20" t="n">
        <v>45977</v>
      </c>
      <c r="C1247" s="11" t="s">
        <v>18</v>
      </c>
      <c r="D1247" s="11" t="s">
        <v>35</v>
      </c>
      <c r="E1247" s="11" t="s">
        <v>55</v>
      </c>
      <c r="F1247" s="11" t="s">
        <v>44</v>
      </c>
      <c r="G1247" s="11" t="n">
        <v>2</v>
      </c>
      <c r="H1247" s="21" t="n">
        <v>150</v>
      </c>
      <c r="I1247" s="21" t="n">
        <v>82</v>
      </c>
      <c r="J1247" s="22" t="n">
        <v>0.1</v>
      </c>
      <c r="K1247" s="21" t="n">
        <f aca="false">G1247*H1247*(1-J1247)</f>
        <v>270</v>
      </c>
      <c r="L1247" s="21" t="n">
        <f aca="false">G1247*I1247</f>
        <v>164</v>
      </c>
      <c r="M1247" s="21" t="n">
        <f aca="false">K1247-L1247</f>
        <v>106</v>
      </c>
      <c r="N1247" s="11" t="str">
        <f aca="false">TEXT(B1247,"mmm")</f>
        <v>Nov</v>
      </c>
    </row>
    <row r="1248" customFormat="false" ht="15" hidden="false" customHeight="false" outlineLevel="0" collapsed="false">
      <c r="A1248" s="11" t="s">
        <v>1309</v>
      </c>
      <c r="B1248" s="20" t="n">
        <v>45977</v>
      </c>
      <c r="C1248" s="11" t="s">
        <v>18</v>
      </c>
      <c r="D1248" s="11" t="s">
        <v>33</v>
      </c>
      <c r="E1248" s="11" t="s">
        <v>51</v>
      </c>
      <c r="F1248" s="11" t="s">
        <v>44</v>
      </c>
      <c r="G1248" s="11" t="n">
        <v>3</v>
      </c>
      <c r="H1248" s="21" t="n">
        <v>90</v>
      </c>
      <c r="I1248" s="21" t="n">
        <v>58</v>
      </c>
      <c r="J1248" s="22" t="n">
        <v>0.1</v>
      </c>
      <c r="K1248" s="21" t="n">
        <f aca="false">G1248*H1248*(1-J1248)</f>
        <v>243</v>
      </c>
      <c r="L1248" s="21" t="n">
        <f aca="false">G1248*I1248</f>
        <v>174</v>
      </c>
      <c r="M1248" s="21" t="n">
        <f aca="false">K1248-L1248</f>
        <v>69</v>
      </c>
      <c r="N1248" s="11" t="str">
        <f aca="false">TEXT(B1248,"mmm")</f>
        <v>Nov</v>
      </c>
    </row>
    <row r="1249" customFormat="false" ht="15" hidden="false" customHeight="false" outlineLevel="0" collapsed="false">
      <c r="A1249" s="11" t="s">
        <v>1310</v>
      </c>
      <c r="B1249" s="20" t="n">
        <v>45977</v>
      </c>
      <c r="C1249" s="11" t="s">
        <v>20</v>
      </c>
      <c r="D1249" s="11" t="s">
        <v>33</v>
      </c>
      <c r="E1249" s="11" t="s">
        <v>48</v>
      </c>
      <c r="F1249" s="11" t="s">
        <v>42</v>
      </c>
      <c r="G1249" s="11" t="n">
        <v>3</v>
      </c>
      <c r="H1249" s="21" t="n">
        <v>520</v>
      </c>
      <c r="I1249" s="21" t="n">
        <v>415</v>
      </c>
      <c r="J1249" s="22" t="n">
        <v>0.05</v>
      </c>
      <c r="K1249" s="21" t="n">
        <f aca="false">G1249*H1249*(1-J1249)</f>
        <v>1482</v>
      </c>
      <c r="L1249" s="21" t="n">
        <f aca="false">G1249*I1249</f>
        <v>1245</v>
      </c>
      <c r="M1249" s="21" t="n">
        <f aca="false">K1249-L1249</f>
        <v>237</v>
      </c>
      <c r="N1249" s="11" t="str">
        <f aca="false">TEXT(B1249,"mmm")</f>
        <v>Nov</v>
      </c>
    </row>
    <row r="1250" customFormat="false" ht="15" hidden="false" customHeight="false" outlineLevel="0" collapsed="false">
      <c r="A1250" s="11" t="s">
        <v>1311</v>
      </c>
      <c r="B1250" s="20" t="n">
        <v>45977</v>
      </c>
      <c r="C1250" s="11" t="s">
        <v>20</v>
      </c>
      <c r="D1250" s="11" t="s">
        <v>33</v>
      </c>
      <c r="E1250" s="11" t="s">
        <v>50</v>
      </c>
      <c r="F1250" s="11" t="s">
        <v>42</v>
      </c>
      <c r="G1250" s="11" t="n">
        <v>1</v>
      </c>
      <c r="H1250" s="21" t="n">
        <v>780</v>
      </c>
      <c r="I1250" s="21" t="n">
        <v>600</v>
      </c>
      <c r="J1250" s="22" t="n">
        <v>0</v>
      </c>
      <c r="K1250" s="21" t="n">
        <f aca="false">G1250*H1250*(1-J1250)</f>
        <v>780</v>
      </c>
      <c r="L1250" s="21" t="n">
        <f aca="false">G1250*I1250</f>
        <v>600</v>
      </c>
      <c r="M1250" s="21" t="n">
        <f aca="false">K1250-L1250</f>
        <v>180</v>
      </c>
      <c r="N1250" s="11" t="str">
        <f aca="false">TEXT(B1250,"mmm")</f>
        <v>Nov</v>
      </c>
    </row>
    <row r="1251" customFormat="false" ht="15" hidden="false" customHeight="false" outlineLevel="0" collapsed="false">
      <c r="A1251" s="11" t="s">
        <v>1312</v>
      </c>
      <c r="B1251" s="20" t="n">
        <v>45977</v>
      </c>
      <c r="C1251" s="11" t="s">
        <v>18</v>
      </c>
      <c r="D1251" s="11" t="s">
        <v>35</v>
      </c>
      <c r="E1251" s="11" t="s">
        <v>56</v>
      </c>
      <c r="F1251" s="11" t="s">
        <v>44</v>
      </c>
      <c r="G1251" s="11" t="n">
        <v>3</v>
      </c>
      <c r="H1251" s="21" t="n">
        <v>110</v>
      </c>
      <c r="I1251" s="21" t="n">
        <v>62</v>
      </c>
      <c r="J1251" s="22" t="n">
        <v>0.05</v>
      </c>
      <c r="K1251" s="21" t="n">
        <f aca="false">G1251*H1251*(1-J1251)</f>
        <v>313.5</v>
      </c>
      <c r="L1251" s="21" t="n">
        <f aca="false">G1251*I1251</f>
        <v>186</v>
      </c>
      <c r="M1251" s="21" t="n">
        <f aca="false">K1251-L1251</f>
        <v>127.5</v>
      </c>
      <c r="N1251" s="11" t="str">
        <f aca="false">TEXT(B1251,"mmm")</f>
        <v>Nov</v>
      </c>
    </row>
    <row r="1252" customFormat="false" ht="15" hidden="false" customHeight="false" outlineLevel="0" collapsed="false">
      <c r="A1252" s="11" t="s">
        <v>1313</v>
      </c>
      <c r="B1252" s="20" t="n">
        <v>45977</v>
      </c>
      <c r="C1252" s="11" t="s">
        <v>22</v>
      </c>
      <c r="D1252" s="11" t="s">
        <v>37</v>
      </c>
      <c r="E1252" s="11" t="s">
        <v>53</v>
      </c>
      <c r="F1252" s="11" t="s">
        <v>42</v>
      </c>
      <c r="G1252" s="11" t="n">
        <v>32</v>
      </c>
      <c r="H1252" s="21" t="n">
        <v>9</v>
      </c>
      <c r="I1252" s="21" t="n">
        <v>4.5</v>
      </c>
      <c r="J1252" s="22" t="n">
        <v>0.05</v>
      </c>
      <c r="K1252" s="21" t="n">
        <f aca="false">G1252*H1252*(1-J1252)</f>
        <v>273.6</v>
      </c>
      <c r="L1252" s="21" t="n">
        <f aca="false">G1252*I1252</f>
        <v>144</v>
      </c>
      <c r="M1252" s="21" t="n">
        <f aca="false">K1252-L1252</f>
        <v>129.6</v>
      </c>
      <c r="N1252" s="11" t="str">
        <f aca="false">TEXT(B1252,"mmm")</f>
        <v>Nov</v>
      </c>
    </row>
    <row r="1253" customFormat="false" ht="15" hidden="false" customHeight="false" outlineLevel="0" collapsed="false">
      <c r="A1253" s="11" t="s">
        <v>1314</v>
      </c>
      <c r="B1253" s="20" t="n">
        <v>45977</v>
      </c>
      <c r="C1253" s="11" t="s">
        <v>24</v>
      </c>
      <c r="D1253" s="11" t="s">
        <v>35</v>
      </c>
      <c r="E1253" s="11" t="s">
        <v>56</v>
      </c>
      <c r="F1253" s="11" t="s">
        <v>42</v>
      </c>
      <c r="G1253" s="11" t="n">
        <v>4</v>
      </c>
      <c r="H1253" s="21" t="n">
        <v>110</v>
      </c>
      <c r="I1253" s="21" t="n">
        <v>62</v>
      </c>
      <c r="J1253" s="22" t="n">
        <v>0</v>
      </c>
      <c r="K1253" s="21" t="n">
        <f aca="false">G1253*H1253*(1-J1253)</f>
        <v>440</v>
      </c>
      <c r="L1253" s="21" t="n">
        <f aca="false">G1253*I1253</f>
        <v>248</v>
      </c>
      <c r="M1253" s="21" t="n">
        <f aca="false">K1253-L1253</f>
        <v>192</v>
      </c>
      <c r="N1253" s="11" t="str">
        <f aca="false">TEXT(B1253,"mmm")</f>
        <v>Nov</v>
      </c>
    </row>
    <row r="1254" customFormat="false" ht="15" hidden="false" customHeight="false" outlineLevel="0" collapsed="false">
      <c r="A1254" s="11" t="s">
        <v>1315</v>
      </c>
      <c r="B1254" s="20" t="n">
        <v>45977</v>
      </c>
      <c r="C1254" s="11" t="s">
        <v>18</v>
      </c>
      <c r="D1254" s="11" t="s">
        <v>33</v>
      </c>
      <c r="E1254" s="11" t="s">
        <v>51</v>
      </c>
      <c r="F1254" s="11" t="s">
        <v>44</v>
      </c>
      <c r="G1254" s="11" t="n">
        <v>2</v>
      </c>
      <c r="H1254" s="21" t="n">
        <v>90</v>
      </c>
      <c r="I1254" s="21" t="n">
        <v>58</v>
      </c>
      <c r="J1254" s="22" t="n">
        <v>0</v>
      </c>
      <c r="K1254" s="21" t="n">
        <f aca="false">G1254*H1254*(1-J1254)</f>
        <v>180</v>
      </c>
      <c r="L1254" s="21" t="n">
        <f aca="false">G1254*I1254</f>
        <v>116</v>
      </c>
      <c r="M1254" s="21" t="n">
        <f aca="false">K1254-L1254</f>
        <v>64</v>
      </c>
      <c r="N1254" s="11" t="str">
        <f aca="false">TEXT(B1254,"mmm")</f>
        <v>Nov</v>
      </c>
    </row>
    <row r="1255" customFormat="false" ht="15" hidden="false" customHeight="false" outlineLevel="0" collapsed="false">
      <c r="A1255" s="11" t="s">
        <v>1316</v>
      </c>
      <c r="B1255" s="20" t="n">
        <v>45977</v>
      </c>
      <c r="C1255" s="11" t="s">
        <v>18</v>
      </c>
      <c r="D1255" s="11" t="s">
        <v>33</v>
      </c>
      <c r="E1255" s="11" t="s">
        <v>50</v>
      </c>
      <c r="F1255" s="11" t="s">
        <v>44</v>
      </c>
      <c r="G1255" s="11" t="n">
        <v>1</v>
      </c>
      <c r="H1255" s="21" t="n">
        <v>780</v>
      </c>
      <c r="I1255" s="21" t="n">
        <v>600</v>
      </c>
      <c r="J1255" s="22" t="n">
        <v>0</v>
      </c>
      <c r="K1255" s="21" t="n">
        <f aca="false">G1255*H1255*(1-J1255)</f>
        <v>780</v>
      </c>
      <c r="L1255" s="21" t="n">
        <f aca="false">G1255*I1255</f>
        <v>600</v>
      </c>
      <c r="M1255" s="21" t="n">
        <f aca="false">K1255-L1255</f>
        <v>180</v>
      </c>
      <c r="N1255" s="11" t="str">
        <f aca="false">TEXT(B1255,"mmm")</f>
        <v>Nov</v>
      </c>
    </row>
    <row r="1256" customFormat="false" ht="15" hidden="false" customHeight="false" outlineLevel="0" collapsed="false">
      <c r="A1256" s="11" t="s">
        <v>1317</v>
      </c>
      <c r="B1256" s="20" t="n">
        <v>45977</v>
      </c>
      <c r="C1256" s="11" t="s">
        <v>22</v>
      </c>
      <c r="D1256" s="11" t="s">
        <v>33</v>
      </c>
      <c r="E1256" s="11" t="s">
        <v>51</v>
      </c>
      <c r="F1256" s="11" t="s">
        <v>45</v>
      </c>
      <c r="G1256" s="11" t="n">
        <v>6</v>
      </c>
      <c r="H1256" s="21" t="n">
        <v>90</v>
      </c>
      <c r="I1256" s="21" t="n">
        <v>58</v>
      </c>
      <c r="J1256" s="22" t="n">
        <v>0.15</v>
      </c>
      <c r="K1256" s="21" t="n">
        <f aca="false">G1256*H1256*(1-J1256)</f>
        <v>459</v>
      </c>
      <c r="L1256" s="21" t="n">
        <f aca="false">G1256*I1256</f>
        <v>348</v>
      </c>
      <c r="M1256" s="21" t="n">
        <f aca="false">K1256-L1256</f>
        <v>111</v>
      </c>
      <c r="N1256" s="11" t="str">
        <f aca="false">TEXT(B1256,"mmm")</f>
        <v>Nov</v>
      </c>
    </row>
    <row r="1257" customFormat="false" ht="15" hidden="false" customHeight="false" outlineLevel="0" collapsed="false">
      <c r="A1257" s="11" t="s">
        <v>1318</v>
      </c>
      <c r="B1257" s="20" t="n">
        <v>45978</v>
      </c>
      <c r="C1257" s="11" t="s">
        <v>22</v>
      </c>
      <c r="D1257" s="11" t="s">
        <v>33</v>
      </c>
      <c r="E1257" s="11" t="s">
        <v>51</v>
      </c>
      <c r="F1257" s="11" t="s">
        <v>44</v>
      </c>
      <c r="G1257" s="11" t="n">
        <v>5</v>
      </c>
      <c r="H1257" s="21" t="n">
        <v>90</v>
      </c>
      <c r="I1257" s="21" t="n">
        <v>58</v>
      </c>
      <c r="J1257" s="22" t="n">
        <v>0</v>
      </c>
      <c r="K1257" s="21" t="n">
        <f aca="false">G1257*H1257*(1-J1257)</f>
        <v>450</v>
      </c>
      <c r="L1257" s="21" t="n">
        <f aca="false">G1257*I1257</f>
        <v>290</v>
      </c>
      <c r="M1257" s="21" t="n">
        <f aca="false">K1257-L1257</f>
        <v>160</v>
      </c>
      <c r="N1257" s="11" t="str">
        <f aca="false">TEXT(B1257,"mmm")</f>
        <v>Nov</v>
      </c>
    </row>
    <row r="1258" customFormat="false" ht="15" hidden="false" customHeight="false" outlineLevel="0" collapsed="false">
      <c r="A1258" s="11" t="s">
        <v>1319</v>
      </c>
      <c r="B1258" s="20" t="n">
        <v>45978</v>
      </c>
      <c r="C1258" s="11" t="s">
        <v>20</v>
      </c>
      <c r="D1258" s="11" t="s">
        <v>35</v>
      </c>
      <c r="E1258" s="11" t="s">
        <v>54</v>
      </c>
      <c r="F1258" s="11" t="s">
        <v>44</v>
      </c>
      <c r="G1258" s="11" t="n">
        <v>3</v>
      </c>
      <c r="H1258" s="21" t="n">
        <v>320</v>
      </c>
      <c r="I1258" s="21" t="n">
        <v>185</v>
      </c>
      <c r="J1258" s="22" t="n">
        <v>0</v>
      </c>
      <c r="K1258" s="21" t="n">
        <f aca="false">G1258*H1258*(1-J1258)</f>
        <v>960</v>
      </c>
      <c r="L1258" s="21" t="n">
        <f aca="false">G1258*I1258</f>
        <v>555</v>
      </c>
      <c r="M1258" s="21" t="n">
        <f aca="false">K1258-L1258</f>
        <v>405</v>
      </c>
      <c r="N1258" s="11" t="str">
        <f aca="false">TEXT(B1258,"mmm")</f>
        <v>Nov</v>
      </c>
    </row>
    <row r="1259" customFormat="false" ht="15" hidden="false" customHeight="false" outlineLevel="0" collapsed="false">
      <c r="A1259" s="11" t="s">
        <v>1320</v>
      </c>
      <c r="B1259" s="20" t="n">
        <v>45978</v>
      </c>
      <c r="C1259" s="11" t="s">
        <v>22</v>
      </c>
      <c r="D1259" s="11" t="s">
        <v>37</v>
      </c>
      <c r="E1259" s="11" t="s">
        <v>53</v>
      </c>
      <c r="F1259" s="11" t="s">
        <v>44</v>
      </c>
      <c r="G1259" s="11" t="n">
        <v>3</v>
      </c>
      <c r="H1259" s="21" t="n">
        <v>9</v>
      </c>
      <c r="I1259" s="21" t="n">
        <v>4.5</v>
      </c>
      <c r="J1259" s="22" t="n">
        <v>0</v>
      </c>
      <c r="K1259" s="21" t="n">
        <f aca="false">G1259*H1259*(1-J1259)</f>
        <v>27</v>
      </c>
      <c r="L1259" s="21" t="n">
        <f aca="false">G1259*I1259</f>
        <v>13.5</v>
      </c>
      <c r="M1259" s="21" t="n">
        <f aca="false">K1259-L1259</f>
        <v>13.5</v>
      </c>
      <c r="N1259" s="11" t="str">
        <f aca="false">TEXT(B1259,"mmm")</f>
        <v>Nov</v>
      </c>
    </row>
    <row r="1260" customFormat="false" ht="15" hidden="false" customHeight="false" outlineLevel="0" collapsed="false">
      <c r="A1260" s="11" t="s">
        <v>1321</v>
      </c>
      <c r="B1260" s="20" t="n">
        <v>45978</v>
      </c>
      <c r="C1260" s="11" t="s">
        <v>20</v>
      </c>
      <c r="D1260" s="11" t="s">
        <v>37</v>
      </c>
      <c r="E1260" s="11" t="s">
        <v>49</v>
      </c>
      <c r="F1260" s="11" t="s">
        <v>44</v>
      </c>
      <c r="G1260" s="11" t="n">
        <v>8</v>
      </c>
      <c r="H1260" s="21" t="n">
        <v>28</v>
      </c>
      <c r="I1260" s="21" t="n">
        <v>17</v>
      </c>
      <c r="J1260" s="22" t="n">
        <v>0.05</v>
      </c>
      <c r="K1260" s="21" t="n">
        <f aca="false">G1260*H1260*(1-J1260)</f>
        <v>212.8</v>
      </c>
      <c r="L1260" s="21" t="n">
        <f aca="false">G1260*I1260</f>
        <v>136</v>
      </c>
      <c r="M1260" s="21" t="n">
        <f aca="false">K1260-L1260</f>
        <v>76.8</v>
      </c>
      <c r="N1260" s="11" t="str">
        <f aca="false">TEXT(B1260,"mmm")</f>
        <v>Nov</v>
      </c>
    </row>
    <row r="1261" customFormat="false" ht="15" hidden="false" customHeight="false" outlineLevel="0" collapsed="false">
      <c r="A1261" s="11" t="s">
        <v>1322</v>
      </c>
      <c r="B1261" s="20" t="n">
        <v>45978</v>
      </c>
      <c r="C1261" s="11" t="s">
        <v>20</v>
      </c>
      <c r="D1261" s="11" t="s">
        <v>35</v>
      </c>
      <c r="E1261" s="11" t="s">
        <v>56</v>
      </c>
      <c r="F1261" s="11" t="s">
        <v>42</v>
      </c>
      <c r="G1261" s="11" t="n">
        <v>2</v>
      </c>
      <c r="H1261" s="21" t="n">
        <v>110</v>
      </c>
      <c r="I1261" s="21" t="n">
        <v>62</v>
      </c>
      <c r="J1261" s="22" t="n">
        <v>0.05</v>
      </c>
      <c r="K1261" s="21" t="n">
        <f aca="false">G1261*H1261*(1-J1261)</f>
        <v>209</v>
      </c>
      <c r="L1261" s="21" t="n">
        <f aca="false">G1261*I1261</f>
        <v>124</v>
      </c>
      <c r="M1261" s="21" t="n">
        <f aca="false">K1261-L1261</f>
        <v>85</v>
      </c>
      <c r="N1261" s="11" t="str">
        <f aca="false">TEXT(B1261,"mmm")</f>
        <v>Nov</v>
      </c>
    </row>
    <row r="1262" customFormat="false" ht="15" hidden="false" customHeight="false" outlineLevel="0" collapsed="false">
      <c r="A1262" s="11" t="s">
        <v>1323</v>
      </c>
      <c r="B1262" s="20" t="n">
        <v>45979</v>
      </c>
      <c r="C1262" s="11" t="s">
        <v>18</v>
      </c>
      <c r="D1262" s="11" t="s">
        <v>37</v>
      </c>
      <c r="E1262" s="11" t="s">
        <v>53</v>
      </c>
      <c r="F1262" s="11" t="s">
        <v>42</v>
      </c>
      <c r="G1262" s="11" t="n">
        <v>22</v>
      </c>
      <c r="H1262" s="21" t="n">
        <v>9</v>
      </c>
      <c r="I1262" s="21" t="n">
        <v>4.5</v>
      </c>
      <c r="J1262" s="22" t="n">
        <v>0.1</v>
      </c>
      <c r="K1262" s="21" t="n">
        <f aca="false">G1262*H1262*(1-J1262)</f>
        <v>178.2</v>
      </c>
      <c r="L1262" s="21" t="n">
        <f aca="false">G1262*I1262</f>
        <v>99</v>
      </c>
      <c r="M1262" s="21" t="n">
        <f aca="false">K1262-L1262</f>
        <v>79.2</v>
      </c>
      <c r="N1262" s="11" t="str">
        <f aca="false">TEXT(B1262,"mmm")</f>
        <v>Nov</v>
      </c>
    </row>
    <row r="1263" customFormat="false" ht="15" hidden="false" customHeight="false" outlineLevel="0" collapsed="false">
      <c r="A1263" s="11" t="s">
        <v>1324</v>
      </c>
      <c r="B1263" s="20" t="n">
        <v>45979</v>
      </c>
      <c r="C1263" s="11" t="s">
        <v>24</v>
      </c>
      <c r="D1263" s="11" t="s">
        <v>35</v>
      </c>
      <c r="E1263" s="11" t="s">
        <v>55</v>
      </c>
      <c r="F1263" s="11" t="s">
        <v>45</v>
      </c>
      <c r="G1263" s="11" t="n">
        <v>3</v>
      </c>
      <c r="H1263" s="21" t="n">
        <v>150</v>
      </c>
      <c r="I1263" s="21" t="n">
        <v>82</v>
      </c>
      <c r="J1263" s="22" t="n">
        <v>0.15</v>
      </c>
      <c r="K1263" s="21" t="n">
        <f aca="false">G1263*H1263*(1-J1263)</f>
        <v>382.5</v>
      </c>
      <c r="L1263" s="21" t="n">
        <f aca="false">G1263*I1263</f>
        <v>246</v>
      </c>
      <c r="M1263" s="21" t="n">
        <f aca="false">K1263-L1263</f>
        <v>136.5</v>
      </c>
      <c r="N1263" s="11" t="str">
        <f aca="false">TEXT(B1263,"mmm")</f>
        <v>Nov</v>
      </c>
    </row>
    <row r="1264" customFormat="false" ht="15" hidden="false" customHeight="false" outlineLevel="0" collapsed="false">
      <c r="A1264" s="11" t="s">
        <v>1325</v>
      </c>
      <c r="B1264" s="20" t="n">
        <v>45979</v>
      </c>
      <c r="C1264" s="11" t="s">
        <v>22</v>
      </c>
      <c r="D1264" s="11" t="s">
        <v>35</v>
      </c>
      <c r="E1264" s="11" t="s">
        <v>56</v>
      </c>
      <c r="F1264" s="11" t="s">
        <v>44</v>
      </c>
      <c r="G1264" s="11" t="n">
        <v>2</v>
      </c>
      <c r="H1264" s="21" t="n">
        <v>110</v>
      </c>
      <c r="I1264" s="21" t="n">
        <v>62</v>
      </c>
      <c r="J1264" s="22" t="n">
        <v>0.05</v>
      </c>
      <c r="K1264" s="21" t="n">
        <f aca="false">G1264*H1264*(1-J1264)</f>
        <v>209</v>
      </c>
      <c r="L1264" s="21" t="n">
        <f aca="false">G1264*I1264</f>
        <v>124</v>
      </c>
      <c r="M1264" s="21" t="n">
        <f aca="false">K1264-L1264</f>
        <v>85</v>
      </c>
      <c r="N1264" s="11" t="str">
        <f aca="false">TEXT(B1264,"mmm")</f>
        <v>Nov</v>
      </c>
    </row>
    <row r="1265" customFormat="false" ht="15" hidden="false" customHeight="false" outlineLevel="0" collapsed="false">
      <c r="A1265" s="11" t="s">
        <v>1326</v>
      </c>
      <c r="B1265" s="20" t="n">
        <v>45979</v>
      </c>
      <c r="C1265" s="11" t="s">
        <v>18</v>
      </c>
      <c r="D1265" s="11" t="s">
        <v>33</v>
      </c>
      <c r="E1265" s="11" t="s">
        <v>50</v>
      </c>
      <c r="F1265" s="11" t="s">
        <v>45</v>
      </c>
      <c r="G1265" s="11" t="n">
        <v>3</v>
      </c>
      <c r="H1265" s="21" t="n">
        <v>780</v>
      </c>
      <c r="I1265" s="21" t="n">
        <v>600</v>
      </c>
      <c r="J1265" s="22" t="n">
        <v>0.2</v>
      </c>
      <c r="K1265" s="21" t="n">
        <f aca="false">G1265*H1265*(1-J1265)</f>
        <v>1872</v>
      </c>
      <c r="L1265" s="21" t="n">
        <f aca="false">G1265*I1265</f>
        <v>1800</v>
      </c>
      <c r="M1265" s="21" t="n">
        <f aca="false">K1265-L1265</f>
        <v>72</v>
      </c>
      <c r="N1265" s="11" t="str">
        <f aca="false">TEXT(B1265,"mmm")</f>
        <v>Nov</v>
      </c>
    </row>
    <row r="1266" customFormat="false" ht="15" hidden="false" customHeight="false" outlineLevel="0" collapsed="false">
      <c r="A1266" s="11" t="s">
        <v>1327</v>
      </c>
      <c r="B1266" s="20" t="n">
        <v>45980</v>
      </c>
      <c r="C1266" s="11" t="s">
        <v>18</v>
      </c>
      <c r="D1266" s="11" t="s">
        <v>37</v>
      </c>
      <c r="E1266" s="11" t="s">
        <v>52</v>
      </c>
      <c r="F1266" s="11" t="s">
        <v>45</v>
      </c>
      <c r="G1266" s="11" t="n">
        <v>18</v>
      </c>
      <c r="H1266" s="21" t="n">
        <v>12</v>
      </c>
      <c r="I1266" s="21" t="n">
        <v>6</v>
      </c>
      <c r="J1266" s="22" t="n">
        <v>0.1</v>
      </c>
      <c r="K1266" s="21" t="n">
        <f aca="false">G1266*H1266*(1-J1266)</f>
        <v>194.4</v>
      </c>
      <c r="L1266" s="21" t="n">
        <f aca="false">G1266*I1266</f>
        <v>108</v>
      </c>
      <c r="M1266" s="21" t="n">
        <f aca="false">K1266-L1266</f>
        <v>86.4</v>
      </c>
      <c r="N1266" s="11" t="str">
        <f aca="false">TEXT(B1266,"mmm")</f>
        <v>Nov</v>
      </c>
    </row>
    <row r="1267" customFormat="false" ht="15" hidden="false" customHeight="false" outlineLevel="0" collapsed="false">
      <c r="A1267" s="11" t="s">
        <v>1328</v>
      </c>
      <c r="B1267" s="20" t="n">
        <v>45980</v>
      </c>
      <c r="C1267" s="11" t="s">
        <v>22</v>
      </c>
      <c r="D1267" s="11" t="s">
        <v>37</v>
      </c>
      <c r="E1267" s="11" t="s">
        <v>52</v>
      </c>
      <c r="F1267" s="11" t="s">
        <v>42</v>
      </c>
      <c r="G1267" s="11" t="n">
        <v>18</v>
      </c>
      <c r="H1267" s="21" t="n">
        <v>12</v>
      </c>
      <c r="I1267" s="21" t="n">
        <v>6</v>
      </c>
      <c r="J1267" s="22" t="n">
        <v>0.05</v>
      </c>
      <c r="K1267" s="21" t="n">
        <f aca="false">G1267*H1267*(1-J1267)</f>
        <v>205.2</v>
      </c>
      <c r="L1267" s="21" t="n">
        <f aca="false">G1267*I1267</f>
        <v>108</v>
      </c>
      <c r="M1267" s="21" t="n">
        <f aca="false">K1267-L1267</f>
        <v>97.2</v>
      </c>
      <c r="N1267" s="11" t="str">
        <f aca="false">TEXT(B1267,"mmm")</f>
        <v>Nov</v>
      </c>
    </row>
    <row r="1268" customFormat="false" ht="15" hidden="false" customHeight="false" outlineLevel="0" collapsed="false">
      <c r="A1268" s="11" t="s">
        <v>1329</v>
      </c>
      <c r="B1268" s="20" t="n">
        <v>45980</v>
      </c>
      <c r="C1268" s="11" t="s">
        <v>20</v>
      </c>
      <c r="D1268" s="11" t="s">
        <v>37</v>
      </c>
      <c r="E1268" s="11" t="s">
        <v>49</v>
      </c>
      <c r="F1268" s="11" t="s">
        <v>42</v>
      </c>
      <c r="G1268" s="11" t="n">
        <v>19</v>
      </c>
      <c r="H1268" s="21" t="n">
        <v>28</v>
      </c>
      <c r="I1268" s="21" t="n">
        <v>17</v>
      </c>
      <c r="J1268" s="22" t="n">
        <v>0</v>
      </c>
      <c r="K1268" s="21" t="n">
        <f aca="false">G1268*H1268*(1-J1268)</f>
        <v>532</v>
      </c>
      <c r="L1268" s="21" t="n">
        <f aca="false">G1268*I1268</f>
        <v>323</v>
      </c>
      <c r="M1268" s="21" t="n">
        <f aca="false">K1268-L1268</f>
        <v>209</v>
      </c>
      <c r="N1268" s="11" t="str">
        <f aca="false">TEXT(B1268,"mmm")</f>
        <v>Nov</v>
      </c>
    </row>
    <row r="1269" customFormat="false" ht="15" hidden="false" customHeight="false" outlineLevel="0" collapsed="false">
      <c r="A1269" s="11" t="s">
        <v>1330</v>
      </c>
      <c r="B1269" s="20" t="n">
        <v>45980</v>
      </c>
      <c r="C1269" s="11" t="s">
        <v>22</v>
      </c>
      <c r="D1269" s="11" t="s">
        <v>37</v>
      </c>
      <c r="E1269" s="11" t="s">
        <v>53</v>
      </c>
      <c r="F1269" s="11" t="s">
        <v>42</v>
      </c>
      <c r="G1269" s="11" t="n">
        <v>31</v>
      </c>
      <c r="H1269" s="21" t="n">
        <v>9</v>
      </c>
      <c r="I1269" s="21" t="n">
        <v>4.5</v>
      </c>
      <c r="J1269" s="22" t="n">
        <v>0</v>
      </c>
      <c r="K1269" s="21" t="n">
        <f aca="false">G1269*H1269*(1-J1269)</f>
        <v>279</v>
      </c>
      <c r="L1269" s="21" t="n">
        <f aca="false">G1269*I1269</f>
        <v>139.5</v>
      </c>
      <c r="M1269" s="21" t="n">
        <f aca="false">K1269-L1269</f>
        <v>139.5</v>
      </c>
      <c r="N1269" s="11" t="str">
        <f aca="false">TEXT(B1269,"mmm")</f>
        <v>Nov</v>
      </c>
    </row>
    <row r="1270" customFormat="false" ht="15" hidden="false" customHeight="false" outlineLevel="0" collapsed="false">
      <c r="A1270" s="11" t="s">
        <v>1331</v>
      </c>
      <c r="B1270" s="20" t="n">
        <v>45980</v>
      </c>
      <c r="C1270" s="11" t="s">
        <v>20</v>
      </c>
      <c r="D1270" s="11" t="s">
        <v>37</v>
      </c>
      <c r="E1270" s="11" t="s">
        <v>49</v>
      </c>
      <c r="F1270" s="11" t="s">
        <v>42</v>
      </c>
      <c r="G1270" s="11" t="n">
        <v>21</v>
      </c>
      <c r="H1270" s="21" t="n">
        <v>28</v>
      </c>
      <c r="I1270" s="21" t="n">
        <v>17</v>
      </c>
      <c r="J1270" s="22" t="n">
        <v>0.15</v>
      </c>
      <c r="K1270" s="21" t="n">
        <f aca="false">G1270*H1270*(1-J1270)</f>
        <v>499.8</v>
      </c>
      <c r="L1270" s="21" t="n">
        <f aca="false">G1270*I1270</f>
        <v>357</v>
      </c>
      <c r="M1270" s="21" t="n">
        <f aca="false">K1270-L1270</f>
        <v>142.8</v>
      </c>
      <c r="N1270" s="11" t="str">
        <f aca="false">TEXT(B1270,"mmm")</f>
        <v>Nov</v>
      </c>
    </row>
    <row r="1271" customFormat="false" ht="15" hidden="false" customHeight="false" outlineLevel="0" collapsed="false">
      <c r="A1271" s="11" t="s">
        <v>1332</v>
      </c>
      <c r="B1271" s="20" t="n">
        <v>45980</v>
      </c>
      <c r="C1271" s="11" t="s">
        <v>20</v>
      </c>
      <c r="D1271" s="11" t="s">
        <v>37</v>
      </c>
      <c r="E1271" s="11" t="s">
        <v>53</v>
      </c>
      <c r="F1271" s="11" t="s">
        <v>44</v>
      </c>
      <c r="G1271" s="11" t="n">
        <v>12</v>
      </c>
      <c r="H1271" s="21" t="n">
        <v>9</v>
      </c>
      <c r="I1271" s="21" t="n">
        <v>4.5</v>
      </c>
      <c r="J1271" s="22" t="n">
        <v>0</v>
      </c>
      <c r="K1271" s="21" t="n">
        <f aca="false">G1271*H1271*(1-J1271)</f>
        <v>108</v>
      </c>
      <c r="L1271" s="21" t="n">
        <f aca="false">G1271*I1271</f>
        <v>54</v>
      </c>
      <c r="M1271" s="21" t="n">
        <f aca="false">K1271-L1271</f>
        <v>54</v>
      </c>
      <c r="N1271" s="11" t="str">
        <f aca="false">TEXT(B1271,"mmm")</f>
        <v>Nov</v>
      </c>
    </row>
    <row r="1272" customFormat="false" ht="15" hidden="false" customHeight="false" outlineLevel="0" collapsed="false">
      <c r="A1272" s="11" t="s">
        <v>1333</v>
      </c>
      <c r="B1272" s="20" t="n">
        <v>45980</v>
      </c>
      <c r="C1272" s="11" t="s">
        <v>18</v>
      </c>
      <c r="D1272" s="11" t="s">
        <v>37</v>
      </c>
      <c r="E1272" s="11" t="s">
        <v>49</v>
      </c>
      <c r="F1272" s="11" t="s">
        <v>42</v>
      </c>
      <c r="G1272" s="11" t="n">
        <v>22</v>
      </c>
      <c r="H1272" s="21" t="n">
        <v>28</v>
      </c>
      <c r="I1272" s="21" t="n">
        <v>17</v>
      </c>
      <c r="J1272" s="22" t="n">
        <v>0.05</v>
      </c>
      <c r="K1272" s="21" t="n">
        <f aca="false">G1272*H1272*(1-J1272)</f>
        <v>585.2</v>
      </c>
      <c r="L1272" s="21" t="n">
        <f aca="false">G1272*I1272</f>
        <v>374</v>
      </c>
      <c r="M1272" s="21" t="n">
        <f aca="false">K1272-L1272</f>
        <v>211.2</v>
      </c>
      <c r="N1272" s="11" t="str">
        <f aca="false">TEXT(B1272,"mmm")</f>
        <v>Nov</v>
      </c>
    </row>
    <row r="1273" customFormat="false" ht="15" hidden="false" customHeight="false" outlineLevel="0" collapsed="false">
      <c r="A1273" s="11" t="s">
        <v>1334</v>
      </c>
      <c r="B1273" s="20" t="n">
        <v>45980</v>
      </c>
      <c r="C1273" s="11" t="s">
        <v>20</v>
      </c>
      <c r="D1273" s="11" t="s">
        <v>37</v>
      </c>
      <c r="E1273" s="11" t="s">
        <v>49</v>
      </c>
      <c r="F1273" s="11" t="s">
        <v>45</v>
      </c>
      <c r="G1273" s="11" t="n">
        <v>66</v>
      </c>
      <c r="H1273" s="21" t="n">
        <v>28</v>
      </c>
      <c r="I1273" s="21" t="n">
        <v>17</v>
      </c>
      <c r="J1273" s="22" t="n">
        <v>0.15</v>
      </c>
      <c r="K1273" s="21" t="n">
        <f aca="false">G1273*H1273*(1-J1273)</f>
        <v>1570.8</v>
      </c>
      <c r="L1273" s="21" t="n">
        <f aca="false">G1273*I1273</f>
        <v>1122</v>
      </c>
      <c r="M1273" s="21" t="n">
        <f aca="false">K1273-L1273</f>
        <v>448.8</v>
      </c>
      <c r="N1273" s="11" t="str">
        <f aca="false">TEXT(B1273,"mmm")</f>
        <v>Nov</v>
      </c>
    </row>
    <row r="1274" customFormat="false" ht="15" hidden="false" customHeight="false" outlineLevel="0" collapsed="false">
      <c r="A1274" s="11" t="s">
        <v>1335</v>
      </c>
      <c r="B1274" s="20" t="n">
        <v>45980</v>
      </c>
      <c r="C1274" s="11" t="s">
        <v>24</v>
      </c>
      <c r="D1274" s="11" t="s">
        <v>33</v>
      </c>
      <c r="E1274" s="11" t="s">
        <v>50</v>
      </c>
      <c r="F1274" s="11" t="s">
        <v>44</v>
      </c>
      <c r="G1274" s="11" t="n">
        <v>1</v>
      </c>
      <c r="H1274" s="21" t="n">
        <v>780</v>
      </c>
      <c r="I1274" s="21" t="n">
        <v>600</v>
      </c>
      <c r="J1274" s="22" t="n">
        <v>0.05</v>
      </c>
      <c r="K1274" s="21" t="n">
        <f aca="false">G1274*H1274*(1-J1274)</f>
        <v>741</v>
      </c>
      <c r="L1274" s="21" t="n">
        <f aca="false">G1274*I1274</f>
        <v>600</v>
      </c>
      <c r="M1274" s="21" t="n">
        <f aca="false">K1274-L1274</f>
        <v>141</v>
      </c>
      <c r="N1274" s="11" t="str">
        <f aca="false">TEXT(B1274,"mmm")</f>
        <v>Nov</v>
      </c>
    </row>
    <row r="1275" customFormat="false" ht="15" hidden="false" customHeight="false" outlineLevel="0" collapsed="false">
      <c r="A1275" s="11" t="s">
        <v>1336</v>
      </c>
      <c r="B1275" s="20" t="n">
        <v>45980</v>
      </c>
      <c r="C1275" s="11" t="s">
        <v>20</v>
      </c>
      <c r="D1275" s="11" t="s">
        <v>37</v>
      </c>
      <c r="E1275" s="11" t="s">
        <v>49</v>
      </c>
      <c r="F1275" s="11" t="s">
        <v>45</v>
      </c>
      <c r="G1275" s="11" t="n">
        <v>105</v>
      </c>
      <c r="H1275" s="21" t="n">
        <v>28</v>
      </c>
      <c r="I1275" s="21" t="n">
        <v>17</v>
      </c>
      <c r="J1275" s="22" t="n">
        <v>0.2</v>
      </c>
      <c r="K1275" s="21" t="n">
        <f aca="false">G1275*H1275*(1-J1275)</f>
        <v>2352</v>
      </c>
      <c r="L1275" s="21" t="n">
        <f aca="false">G1275*I1275</f>
        <v>1785</v>
      </c>
      <c r="M1275" s="21" t="n">
        <f aca="false">K1275-L1275</f>
        <v>567</v>
      </c>
      <c r="N1275" s="11" t="str">
        <f aca="false">TEXT(B1275,"mmm")</f>
        <v>Nov</v>
      </c>
    </row>
    <row r="1276" customFormat="false" ht="15" hidden="false" customHeight="false" outlineLevel="0" collapsed="false">
      <c r="A1276" s="11" t="s">
        <v>1337</v>
      </c>
      <c r="B1276" s="20" t="n">
        <v>45980</v>
      </c>
      <c r="C1276" s="11" t="s">
        <v>20</v>
      </c>
      <c r="D1276" s="11" t="s">
        <v>35</v>
      </c>
      <c r="E1276" s="11" t="s">
        <v>56</v>
      </c>
      <c r="F1276" s="11" t="s">
        <v>45</v>
      </c>
      <c r="G1276" s="11" t="n">
        <v>4</v>
      </c>
      <c r="H1276" s="21" t="n">
        <v>110</v>
      </c>
      <c r="I1276" s="21" t="n">
        <v>62</v>
      </c>
      <c r="J1276" s="22" t="n">
        <v>0.1</v>
      </c>
      <c r="K1276" s="21" t="n">
        <f aca="false">G1276*H1276*(1-J1276)</f>
        <v>396</v>
      </c>
      <c r="L1276" s="21" t="n">
        <f aca="false">G1276*I1276</f>
        <v>248</v>
      </c>
      <c r="M1276" s="21" t="n">
        <f aca="false">K1276-L1276</f>
        <v>148</v>
      </c>
      <c r="N1276" s="11" t="str">
        <f aca="false">TEXT(B1276,"mmm")</f>
        <v>Nov</v>
      </c>
    </row>
    <row r="1277" customFormat="false" ht="15" hidden="false" customHeight="false" outlineLevel="0" collapsed="false">
      <c r="A1277" s="11" t="s">
        <v>1338</v>
      </c>
      <c r="B1277" s="20" t="n">
        <v>45980</v>
      </c>
      <c r="C1277" s="11" t="s">
        <v>20</v>
      </c>
      <c r="D1277" s="11" t="s">
        <v>35</v>
      </c>
      <c r="E1277" s="11" t="s">
        <v>54</v>
      </c>
      <c r="F1277" s="11" t="s">
        <v>44</v>
      </c>
      <c r="G1277" s="11" t="n">
        <v>1</v>
      </c>
      <c r="H1277" s="21" t="n">
        <v>320</v>
      </c>
      <c r="I1277" s="21" t="n">
        <v>185</v>
      </c>
      <c r="J1277" s="22" t="n">
        <v>0</v>
      </c>
      <c r="K1277" s="21" t="n">
        <f aca="false">G1277*H1277*(1-J1277)</f>
        <v>320</v>
      </c>
      <c r="L1277" s="21" t="n">
        <f aca="false">G1277*I1277</f>
        <v>185</v>
      </c>
      <c r="M1277" s="21" t="n">
        <f aca="false">K1277-L1277</f>
        <v>135</v>
      </c>
      <c r="N1277" s="11" t="str">
        <f aca="false">TEXT(B1277,"mmm")</f>
        <v>Nov</v>
      </c>
    </row>
    <row r="1278" customFormat="false" ht="15" hidden="false" customHeight="false" outlineLevel="0" collapsed="false">
      <c r="A1278" s="11" t="s">
        <v>1339</v>
      </c>
      <c r="B1278" s="20" t="n">
        <v>45980</v>
      </c>
      <c r="C1278" s="11" t="s">
        <v>20</v>
      </c>
      <c r="D1278" s="11" t="s">
        <v>37</v>
      </c>
      <c r="E1278" s="11" t="s">
        <v>53</v>
      </c>
      <c r="F1278" s="11" t="s">
        <v>44</v>
      </c>
      <c r="G1278" s="11" t="n">
        <v>32</v>
      </c>
      <c r="H1278" s="21" t="n">
        <v>9</v>
      </c>
      <c r="I1278" s="21" t="n">
        <v>4.5</v>
      </c>
      <c r="J1278" s="22" t="n">
        <v>0</v>
      </c>
      <c r="K1278" s="21" t="n">
        <f aca="false">G1278*H1278*(1-J1278)</f>
        <v>288</v>
      </c>
      <c r="L1278" s="21" t="n">
        <f aca="false">G1278*I1278</f>
        <v>144</v>
      </c>
      <c r="M1278" s="21" t="n">
        <f aca="false">K1278-L1278</f>
        <v>144</v>
      </c>
      <c r="N1278" s="11" t="str">
        <f aca="false">TEXT(B1278,"mmm")</f>
        <v>Nov</v>
      </c>
    </row>
    <row r="1279" customFormat="false" ht="15" hidden="false" customHeight="false" outlineLevel="0" collapsed="false">
      <c r="A1279" s="11" t="s">
        <v>1340</v>
      </c>
      <c r="B1279" s="20" t="n">
        <v>45981</v>
      </c>
      <c r="C1279" s="11" t="s">
        <v>24</v>
      </c>
      <c r="D1279" s="11" t="s">
        <v>33</v>
      </c>
      <c r="E1279" s="11" t="s">
        <v>51</v>
      </c>
      <c r="F1279" s="11" t="s">
        <v>42</v>
      </c>
      <c r="G1279" s="11" t="n">
        <v>1</v>
      </c>
      <c r="H1279" s="21" t="n">
        <v>90</v>
      </c>
      <c r="I1279" s="21" t="n">
        <v>58</v>
      </c>
      <c r="J1279" s="22" t="n">
        <v>0</v>
      </c>
      <c r="K1279" s="21" t="n">
        <f aca="false">G1279*H1279*(1-J1279)</f>
        <v>90</v>
      </c>
      <c r="L1279" s="21" t="n">
        <f aca="false">G1279*I1279</f>
        <v>58</v>
      </c>
      <c r="M1279" s="21" t="n">
        <f aca="false">K1279-L1279</f>
        <v>32</v>
      </c>
      <c r="N1279" s="11" t="str">
        <f aca="false">TEXT(B1279,"mmm")</f>
        <v>Nov</v>
      </c>
    </row>
    <row r="1280" customFormat="false" ht="15" hidden="false" customHeight="false" outlineLevel="0" collapsed="false">
      <c r="A1280" s="11" t="s">
        <v>1341</v>
      </c>
      <c r="B1280" s="20" t="n">
        <v>45981</v>
      </c>
      <c r="C1280" s="11" t="s">
        <v>22</v>
      </c>
      <c r="D1280" s="11" t="s">
        <v>37</v>
      </c>
      <c r="E1280" s="11" t="s">
        <v>49</v>
      </c>
      <c r="F1280" s="11" t="s">
        <v>44</v>
      </c>
      <c r="G1280" s="11" t="n">
        <v>3</v>
      </c>
      <c r="H1280" s="21" t="n">
        <v>28</v>
      </c>
      <c r="I1280" s="21" t="n">
        <v>17</v>
      </c>
      <c r="J1280" s="22" t="n">
        <v>0</v>
      </c>
      <c r="K1280" s="21" t="n">
        <f aca="false">G1280*H1280*(1-J1280)</f>
        <v>84</v>
      </c>
      <c r="L1280" s="21" t="n">
        <f aca="false">G1280*I1280</f>
        <v>51</v>
      </c>
      <c r="M1280" s="21" t="n">
        <f aca="false">K1280-L1280</f>
        <v>33</v>
      </c>
      <c r="N1280" s="11" t="str">
        <f aca="false">TEXT(B1280,"mmm")</f>
        <v>Nov</v>
      </c>
    </row>
    <row r="1281" customFormat="false" ht="15" hidden="false" customHeight="false" outlineLevel="0" collapsed="false">
      <c r="A1281" s="11" t="s">
        <v>1342</v>
      </c>
      <c r="B1281" s="20" t="n">
        <v>45981</v>
      </c>
      <c r="C1281" s="11" t="s">
        <v>18</v>
      </c>
      <c r="D1281" s="11" t="s">
        <v>33</v>
      </c>
      <c r="E1281" s="11" t="s">
        <v>48</v>
      </c>
      <c r="F1281" s="11" t="s">
        <v>45</v>
      </c>
      <c r="G1281" s="11" t="n">
        <v>2</v>
      </c>
      <c r="H1281" s="21" t="n">
        <v>520</v>
      </c>
      <c r="I1281" s="21" t="n">
        <v>415</v>
      </c>
      <c r="J1281" s="22" t="n">
        <v>0.15</v>
      </c>
      <c r="K1281" s="21" t="n">
        <f aca="false">G1281*H1281*(1-J1281)</f>
        <v>884</v>
      </c>
      <c r="L1281" s="21" t="n">
        <f aca="false">G1281*I1281</f>
        <v>830</v>
      </c>
      <c r="M1281" s="21" t="n">
        <f aca="false">K1281-L1281</f>
        <v>54</v>
      </c>
      <c r="N1281" s="11" t="str">
        <f aca="false">TEXT(B1281,"mmm")</f>
        <v>Nov</v>
      </c>
    </row>
    <row r="1282" customFormat="false" ht="15" hidden="false" customHeight="false" outlineLevel="0" collapsed="false">
      <c r="A1282" s="11" t="s">
        <v>1343</v>
      </c>
      <c r="B1282" s="20" t="n">
        <v>45981</v>
      </c>
      <c r="C1282" s="11" t="s">
        <v>18</v>
      </c>
      <c r="D1282" s="11" t="s">
        <v>37</v>
      </c>
      <c r="E1282" s="11" t="s">
        <v>52</v>
      </c>
      <c r="F1282" s="11" t="s">
        <v>45</v>
      </c>
      <c r="G1282" s="11" t="n">
        <v>39</v>
      </c>
      <c r="H1282" s="21" t="n">
        <v>12</v>
      </c>
      <c r="I1282" s="21" t="n">
        <v>6</v>
      </c>
      <c r="J1282" s="22" t="n">
        <v>0.15</v>
      </c>
      <c r="K1282" s="21" t="n">
        <f aca="false">G1282*H1282*(1-J1282)</f>
        <v>397.8</v>
      </c>
      <c r="L1282" s="21" t="n">
        <f aca="false">G1282*I1282</f>
        <v>234</v>
      </c>
      <c r="M1282" s="21" t="n">
        <f aca="false">K1282-L1282</f>
        <v>163.8</v>
      </c>
      <c r="N1282" s="11" t="str">
        <f aca="false">TEXT(B1282,"mmm")</f>
        <v>Nov</v>
      </c>
    </row>
    <row r="1283" customFormat="false" ht="15" hidden="false" customHeight="false" outlineLevel="0" collapsed="false">
      <c r="A1283" s="11" t="s">
        <v>1344</v>
      </c>
      <c r="B1283" s="20" t="n">
        <v>45981</v>
      </c>
      <c r="C1283" s="11" t="s">
        <v>20</v>
      </c>
      <c r="D1283" s="11" t="s">
        <v>37</v>
      </c>
      <c r="E1283" s="11" t="s">
        <v>52</v>
      </c>
      <c r="F1283" s="11" t="s">
        <v>44</v>
      </c>
      <c r="G1283" s="11" t="n">
        <v>26</v>
      </c>
      <c r="H1283" s="21" t="n">
        <v>12</v>
      </c>
      <c r="I1283" s="21" t="n">
        <v>6</v>
      </c>
      <c r="J1283" s="22" t="n">
        <v>0.1</v>
      </c>
      <c r="K1283" s="21" t="n">
        <f aca="false">G1283*H1283*(1-J1283)</f>
        <v>280.8</v>
      </c>
      <c r="L1283" s="21" t="n">
        <f aca="false">G1283*I1283</f>
        <v>156</v>
      </c>
      <c r="M1283" s="21" t="n">
        <f aca="false">K1283-L1283</f>
        <v>124.8</v>
      </c>
      <c r="N1283" s="11" t="str">
        <f aca="false">TEXT(B1283,"mmm")</f>
        <v>Nov</v>
      </c>
    </row>
    <row r="1284" customFormat="false" ht="15" hidden="false" customHeight="false" outlineLevel="0" collapsed="false">
      <c r="A1284" s="11" t="s">
        <v>1345</v>
      </c>
      <c r="B1284" s="20" t="n">
        <v>45981</v>
      </c>
      <c r="C1284" s="11" t="s">
        <v>20</v>
      </c>
      <c r="D1284" s="11" t="s">
        <v>35</v>
      </c>
      <c r="E1284" s="11" t="s">
        <v>54</v>
      </c>
      <c r="F1284" s="11" t="s">
        <v>42</v>
      </c>
      <c r="G1284" s="11" t="n">
        <v>1</v>
      </c>
      <c r="H1284" s="21" t="n">
        <v>320</v>
      </c>
      <c r="I1284" s="21" t="n">
        <v>185</v>
      </c>
      <c r="J1284" s="22" t="n">
        <v>0</v>
      </c>
      <c r="K1284" s="21" t="n">
        <f aca="false">G1284*H1284*(1-J1284)</f>
        <v>320</v>
      </c>
      <c r="L1284" s="21" t="n">
        <f aca="false">G1284*I1284</f>
        <v>185</v>
      </c>
      <c r="M1284" s="21" t="n">
        <f aca="false">K1284-L1284</f>
        <v>135</v>
      </c>
      <c r="N1284" s="11" t="str">
        <f aca="false">TEXT(B1284,"mmm")</f>
        <v>Nov</v>
      </c>
    </row>
    <row r="1285" customFormat="false" ht="15" hidden="false" customHeight="false" outlineLevel="0" collapsed="false">
      <c r="A1285" s="11" t="s">
        <v>1346</v>
      </c>
      <c r="B1285" s="20" t="n">
        <v>45981</v>
      </c>
      <c r="C1285" s="11" t="s">
        <v>18</v>
      </c>
      <c r="D1285" s="11" t="s">
        <v>37</v>
      </c>
      <c r="E1285" s="11" t="s">
        <v>52</v>
      </c>
      <c r="F1285" s="11" t="s">
        <v>42</v>
      </c>
      <c r="G1285" s="11" t="n">
        <v>40</v>
      </c>
      <c r="H1285" s="21" t="n">
        <v>12</v>
      </c>
      <c r="I1285" s="21" t="n">
        <v>6</v>
      </c>
      <c r="J1285" s="22" t="n">
        <v>0.1</v>
      </c>
      <c r="K1285" s="21" t="n">
        <f aca="false">G1285*H1285*(1-J1285)</f>
        <v>432</v>
      </c>
      <c r="L1285" s="21" t="n">
        <f aca="false">G1285*I1285</f>
        <v>240</v>
      </c>
      <c r="M1285" s="21" t="n">
        <f aca="false">K1285-L1285</f>
        <v>192</v>
      </c>
      <c r="N1285" s="11" t="str">
        <f aca="false">TEXT(B1285,"mmm")</f>
        <v>Nov</v>
      </c>
    </row>
    <row r="1286" customFormat="false" ht="15" hidden="false" customHeight="false" outlineLevel="0" collapsed="false">
      <c r="A1286" s="11" t="s">
        <v>1347</v>
      </c>
      <c r="B1286" s="20" t="n">
        <v>45981</v>
      </c>
      <c r="C1286" s="11" t="s">
        <v>18</v>
      </c>
      <c r="D1286" s="11" t="s">
        <v>37</v>
      </c>
      <c r="E1286" s="11" t="s">
        <v>53</v>
      </c>
      <c r="F1286" s="11" t="s">
        <v>42</v>
      </c>
      <c r="G1286" s="11" t="n">
        <v>25</v>
      </c>
      <c r="H1286" s="21" t="n">
        <v>9</v>
      </c>
      <c r="I1286" s="21" t="n">
        <v>4.5</v>
      </c>
      <c r="J1286" s="22" t="n">
        <v>0.1</v>
      </c>
      <c r="K1286" s="21" t="n">
        <f aca="false">G1286*H1286*(1-J1286)</f>
        <v>202.5</v>
      </c>
      <c r="L1286" s="21" t="n">
        <f aca="false">G1286*I1286</f>
        <v>112.5</v>
      </c>
      <c r="M1286" s="21" t="n">
        <f aca="false">K1286-L1286</f>
        <v>90</v>
      </c>
      <c r="N1286" s="11" t="str">
        <f aca="false">TEXT(B1286,"mmm")</f>
        <v>Nov</v>
      </c>
    </row>
    <row r="1287" customFormat="false" ht="15" hidden="false" customHeight="false" outlineLevel="0" collapsed="false">
      <c r="A1287" s="11" t="s">
        <v>1348</v>
      </c>
      <c r="B1287" s="20" t="n">
        <v>45981</v>
      </c>
      <c r="C1287" s="11" t="s">
        <v>18</v>
      </c>
      <c r="D1287" s="11" t="s">
        <v>33</v>
      </c>
      <c r="E1287" s="11" t="s">
        <v>48</v>
      </c>
      <c r="F1287" s="11" t="s">
        <v>42</v>
      </c>
      <c r="G1287" s="11" t="n">
        <v>1</v>
      </c>
      <c r="H1287" s="21" t="n">
        <v>520</v>
      </c>
      <c r="I1287" s="21" t="n">
        <v>415</v>
      </c>
      <c r="J1287" s="22" t="n">
        <v>0.1</v>
      </c>
      <c r="K1287" s="21" t="n">
        <f aca="false">G1287*H1287*(1-J1287)</f>
        <v>468</v>
      </c>
      <c r="L1287" s="21" t="n">
        <f aca="false">G1287*I1287</f>
        <v>415</v>
      </c>
      <c r="M1287" s="21" t="n">
        <f aca="false">K1287-L1287</f>
        <v>53</v>
      </c>
      <c r="N1287" s="11" t="str">
        <f aca="false">TEXT(B1287,"mmm")</f>
        <v>Nov</v>
      </c>
    </row>
    <row r="1288" customFormat="false" ht="15" hidden="false" customHeight="false" outlineLevel="0" collapsed="false">
      <c r="A1288" s="11" t="s">
        <v>1349</v>
      </c>
      <c r="B1288" s="20" t="n">
        <v>45982</v>
      </c>
      <c r="C1288" s="11" t="s">
        <v>22</v>
      </c>
      <c r="D1288" s="11" t="s">
        <v>33</v>
      </c>
      <c r="E1288" s="11" t="s">
        <v>48</v>
      </c>
      <c r="F1288" s="11" t="s">
        <v>44</v>
      </c>
      <c r="G1288" s="11" t="n">
        <v>1</v>
      </c>
      <c r="H1288" s="21" t="n">
        <v>520</v>
      </c>
      <c r="I1288" s="21" t="n">
        <v>415</v>
      </c>
      <c r="J1288" s="22" t="n">
        <v>0.1</v>
      </c>
      <c r="K1288" s="21" t="n">
        <f aca="false">G1288*H1288*(1-J1288)</f>
        <v>468</v>
      </c>
      <c r="L1288" s="21" t="n">
        <f aca="false">G1288*I1288</f>
        <v>415</v>
      </c>
      <c r="M1288" s="21" t="n">
        <f aca="false">K1288-L1288</f>
        <v>53</v>
      </c>
      <c r="N1288" s="11" t="str">
        <f aca="false">TEXT(B1288,"mmm")</f>
        <v>Nov</v>
      </c>
    </row>
    <row r="1289" customFormat="false" ht="15" hidden="false" customHeight="false" outlineLevel="0" collapsed="false">
      <c r="A1289" s="11" t="s">
        <v>1350</v>
      </c>
      <c r="B1289" s="20" t="n">
        <v>45982</v>
      </c>
      <c r="C1289" s="11" t="s">
        <v>24</v>
      </c>
      <c r="D1289" s="11" t="s">
        <v>37</v>
      </c>
      <c r="E1289" s="11" t="s">
        <v>52</v>
      </c>
      <c r="F1289" s="11" t="s">
        <v>42</v>
      </c>
      <c r="G1289" s="11" t="n">
        <v>26</v>
      </c>
      <c r="H1289" s="21" t="n">
        <v>12</v>
      </c>
      <c r="I1289" s="21" t="n">
        <v>6</v>
      </c>
      <c r="J1289" s="22" t="n">
        <v>0.15</v>
      </c>
      <c r="K1289" s="21" t="n">
        <f aca="false">G1289*H1289*(1-J1289)</f>
        <v>265.2</v>
      </c>
      <c r="L1289" s="21" t="n">
        <f aca="false">G1289*I1289</f>
        <v>156</v>
      </c>
      <c r="M1289" s="21" t="n">
        <f aca="false">K1289-L1289</f>
        <v>109.2</v>
      </c>
      <c r="N1289" s="11" t="str">
        <f aca="false">TEXT(B1289,"mmm")</f>
        <v>Nov</v>
      </c>
    </row>
    <row r="1290" customFormat="false" ht="15" hidden="false" customHeight="false" outlineLevel="0" collapsed="false">
      <c r="A1290" s="11" t="s">
        <v>1351</v>
      </c>
      <c r="B1290" s="20" t="n">
        <v>45982</v>
      </c>
      <c r="C1290" s="11" t="s">
        <v>20</v>
      </c>
      <c r="D1290" s="11" t="s">
        <v>33</v>
      </c>
      <c r="E1290" s="11" t="s">
        <v>51</v>
      </c>
      <c r="F1290" s="11" t="s">
        <v>44</v>
      </c>
      <c r="G1290" s="11" t="n">
        <v>4</v>
      </c>
      <c r="H1290" s="21" t="n">
        <v>90</v>
      </c>
      <c r="I1290" s="21" t="n">
        <v>58</v>
      </c>
      <c r="J1290" s="22" t="n">
        <v>0.1</v>
      </c>
      <c r="K1290" s="21" t="n">
        <f aca="false">G1290*H1290*(1-J1290)</f>
        <v>324</v>
      </c>
      <c r="L1290" s="21" t="n">
        <f aca="false">G1290*I1290</f>
        <v>232</v>
      </c>
      <c r="M1290" s="21" t="n">
        <f aca="false">K1290-L1290</f>
        <v>92</v>
      </c>
      <c r="N1290" s="11" t="str">
        <f aca="false">TEXT(B1290,"mmm")</f>
        <v>Nov</v>
      </c>
    </row>
    <row r="1291" customFormat="false" ht="15" hidden="false" customHeight="false" outlineLevel="0" collapsed="false">
      <c r="A1291" s="11" t="s">
        <v>1352</v>
      </c>
      <c r="B1291" s="20" t="n">
        <v>45983</v>
      </c>
      <c r="C1291" s="11" t="s">
        <v>20</v>
      </c>
      <c r="D1291" s="11" t="s">
        <v>37</v>
      </c>
      <c r="E1291" s="11" t="s">
        <v>52</v>
      </c>
      <c r="F1291" s="11" t="s">
        <v>44</v>
      </c>
      <c r="G1291" s="11" t="n">
        <v>11</v>
      </c>
      <c r="H1291" s="21" t="n">
        <v>12</v>
      </c>
      <c r="I1291" s="21" t="n">
        <v>6</v>
      </c>
      <c r="J1291" s="22" t="n">
        <v>0</v>
      </c>
      <c r="K1291" s="21" t="n">
        <f aca="false">G1291*H1291*(1-J1291)</f>
        <v>132</v>
      </c>
      <c r="L1291" s="21" t="n">
        <f aca="false">G1291*I1291</f>
        <v>66</v>
      </c>
      <c r="M1291" s="21" t="n">
        <f aca="false">K1291-L1291</f>
        <v>66</v>
      </c>
      <c r="N1291" s="11" t="str">
        <f aca="false">TEXT(B1291,"mmm")</f>
        <v>Nov</v>
      </c>
    </row>
    <row r="1292" customFormat="false" ht="15" hidden="false" customHeight="false" outlineLevel="0" collapsed="false">
      <c r="A1292" s="11" t="s">
        <v>1353</v>
      </c>
      <c r="B1292" s="20" t="n">
        <v>45983</v>
      </c>
      <c r="C1292" s="11" t="s">
        <v>20</v>
      </c>
      <c r="D1292" s="11" t="s">
        <v>37</v>
      </c>
      <c r="E1292" s="11" t="s">
        <v>53</v>
      </c>
      <c r="F1292" s="11" t="s">
        <v>44</v>
      </c>
      <c r="G1292" s="11" t="n">
        <v>28</v>
      </c>
      <c r="H1292" s="21" t="n">
        <v>9</v>
      </c>
      <c r="I1292" s="21" t="n">
        <v>4.5</v>
      </c>
      <c r="J1292" s="22" t="n">
        <v>0</v>
      </c>
      <c r="K1292" s="21" t="n">
        <f aca="false">G1292*H1292*(1-J1292)</f>
        <v>252</v>
      </c>
      <c r="L1292" s="21" t="n">
        <f aca="false">G1292*I1292</f>
        <v>126</v>
      </c>
      <c r="M1292" s="21" t="n">
        <f aca="false">K1292-L1292</f>
        <v>126</v>
      </c>
      <c r="N1292" s="11" t="str">
        <f aca="false">TEXT(B1292,"mmm")</f>
        <v>Nov</v>
      </c>
    </row>
    <row r="1293" customFormat="false" ht="15" hidden="false" customHeight="false" outlineLevel="0" collapsed="false">
      <c r="A1293" s="11" t="s">
        <v>1354</v>
      </c>
      <c r="B1293" s="20" t="n">
        <v>45983</v>
      </c>
      <c r="C1293" s="11" t="s">
        <v>20</v>
      </c>
      <c r="D1293" s="11" t="s">
        <v>35</v>
      </c>
      <c r="E1293" s="11" t="s">
        <v>55</v>
      </c>
      <c r="F1293" s="11" t="s">
        <v>44</v>
      </c>
      <c r="G1293" s="11" t="n">
        <v>1</v>
      </c>
      <c r="H1293" s="21" t="n">
        <v>150</v>
      </c>
      <c r="I1293" s="21" t="n">
        <v>82</v>
      </c>
      <c r="J1293" s="22" t="n">
        <v>0</v>
      </c>
      <c r="K1293" s="21" t="n">
        <f aca="false">G1293*H1293*(1-J1293)</f>
        <v>150</v>
      </c>
      <c r="L1293" s="21" t="n">
        <f aca="false">G1293*I1293</f>
        <v>82</v>
      </c>
      <c r="M1293" s="21" t="n">
        <f aca="false">K1293-L1293</f>
        <v>68</v>
      </c>
      <c r="N1293" s="11" t="str">
        <f aca="false">TEXT(B1293,"mmm")</f>
        <v>Nov</v>
      </c>
    </row>
    <row r="1294" customFormat="false" ht="15" hidden="false" customHeight="false" outlineLevel="0" collapsed="false">
      <c r="A1294" s="11" t="s">
        <v>1355</v>
      </c>
      <c r="B1294" s="20" t="n">
        <v>45983</v>
      </c>
      <c r="C1294" s="11" t="s">
        <v>18</v>
      </c>
      <c r="D1294" s="11" t="s">
        <v>33</v>
      </c>
      <c r="E1294" s="11" t="s">
        <v>51</v>
      </c>
      <c r="F1294" s="11" t="s">
        <v>42</v>
      </c>
      <c r="G1294" s="11" t="n">
        <v>1</v>
      </c>
      <c r="H1294" s="21" t="n">
        <v>90</v>
      </c>
      <c r="I1294" s="21" t="n">
        <v>58</v>
      </c>
      <c r="J1294" s="22" t="n">
        <v>0.15</v>
      </c>
      <c r="K1294" s="21" t="n">
        <f aca="false">G1294*H1294*(1-J1294)</f>
        <v>76.5</v>
      </c>
      <c r="L1294" s="21" t="n">
        <f aca="false">G1294*I1294</f>
        <v>58</v>
      </c>
      <c r="M1294" s="21" t="n">
        <f aca="false">K1294-L1294</f>
        <v>18.5</v>
      </c>
      <c r="N1294" s="11" t="str">
        <f aca="false">TEXT(B1294,"mmm")</f>
        <v>Nov</v>
      </c>
    </row>
    <row r="1295" customFormat="false" ht="15" hidden="false" customHeight="false" outlineLevel="0" collapsed="false">
      <c r="A1295" s="11" t="s">
        <v>1356</v>
      </c>
      <c r="B1295" s="20" t="n">
        <v>45983</v>
      </c>
      <c r="C1295" s="11" t="s">
        <v>22</v>
      </c>
      <c r="D1295" s="11" t="s">
        <v>37</v>
      </c>
      <c r="E1295" s="11" t="s">
        <v>52</v>
      </c>
      <c r="F1295" s="11" t="s">
        <v>42</v>
      </c>
      <c r="G1295" s="11" t="n">
        <v>24</v>
      </c>
      <c r="H1295" s="21" t="n">
        <v>12</v>
      </c>
      <c r="I1295" s="21" t="n">
        <v>6</v>
      </c>
      <c r="J1295" s="22" t="n">
        <v>0</v>
      </c>
      <c r="K1295" s="21" t="n">
        <f aca="false">G1295*H1295*(1-J1295)</f>
        <v>288</v>
      </c>
      <c r="L1295" s="21" t="n">
        <f aca="false">G1295*I1295</f>
        <v>144</v>
      </c>
      <c r="M1295" s="21" t="n">
        <f aca="false">K1295-L1295</f>
        <v>144</v>
      </c>
      <c r="N1295" s="11" t="str">
        <f aca="false">TEXT(B1295,"mmm")</f>
        <v>Nov</v>
      </c>
    </row>
    <row r="1296" customFormat="false" ht="15" hidden="false" customHeight="false" outlineLevel="0" collapsed="false">
      <c r="A1296" s="11" t="s">
        <v>1357</v>
      </c>
      <c r="B1296" s="20" t="n">
        <v>45983</v>
      </c>
      <c r="C1296" s="11" t="s">
        <v>24</v>
      </c>
      <c r="D1296" s="11" t="s">
        <v>37</v>
      </c>
      <c r="E1296" s="11" t="s">
        <v>53</v>
      </c>
      <c r="F1296" s="11" t="s">
        <v>44</v>
      </c>
      <c r="G1296" s="11" t="n">
        <v>29</v>
      </c>
      <c r="H1296" s="21" t="n">
        <v>9</v>
      </c>
      <c r="I1296" s="21" t="n">
        <v>4.5</v>
      </c>
      <c r="J1296" s="22" t="n">
        <v>0</v>
      </c>
      <c r="K1296" s="21" t="n">
        <f aca="false">G1296*H1296*(1-J1296)</f>
        <v>261</v>
      </c>
      <c r="L1296" s="21" t="n">
        <f aca="false">G1296*I1296</f>
        <v>130.5</v>
      </c>
      <c r="M1296" s="21" t="n">
        <f aca="false">K1296-L1296</f>
        <v>130.5</v>
      </c>
      <c r="N1296" s="11" t="str">
        <f aca="false">TEXT(B1296,"mmm")</f>
        <v>Nov</v>
      </c>
    </row>
    <row r="1297" customFormat="false" ht="15" hidden="false" customHeight="false" outlineLevel="0" collapsed="false">
      <c r="A1297" s="11" t="s">
        <v>1358</v>
      </c>
      <c r="B1297" s="20" t="n">
        <v>45984</v>
      </c>
      <c r="C1297" s="11" t="s">
        <v>18</v>
      </c>
      <c r="D1297" s="11" t="s">
        <v>37</v>
      </c>
      <c r="E1297" s="11" t="s">
        <v>49</v>
      </c>
      <c r="F1297" s="11" t="s">
        <v>45</v>
      </c>
      <c r="G1297" s="11" t="n">
        <v>93</v>
      </c>
      <c r="H1297" s="21" t="n">
        <v>28</v>
      </c>
      <c r="I1297" s="21" t="n">
        <v>17</v>
      </c>
      <c r="J1297" s="22" t="n">
        <v>0.1</v>
      </c>
      <c r="K1297" s="21" t="n">
        <f aca="false">G1297*H1297*(1-J1297)</f>
        <v>2343.6</v>
      </c>
      <c r="L1297" s="21" t="n">
        <f aca="false">G1297*I1297</f>
        <v>1581</v>
      </c>
      <c r="M1297" s="21" t="n">
        <f aca="false">K1297-L1297</f>
        <v>762.6</v>
      </c>
      <c r="N1297" s="11" t="str">
        <f aca="false">TEXT(B1297,"mmm")</f>
        <v>Nov</v>
      </c>
    </row>
    <row r="1298" customFormat="false" ht="15" hidden="false" customHeight="false" outlineLevel="0" collapsed="false">
      <c r="A1298" s="11" t="s">
        <v>1359</v>
      </c>
      <c r="B1298" s="20" t="n">
        <v>45984</v>
      </c>
      <c r="C1298" s="11" t="s">
        <v>22</v>
      </c>
      <c r="D1298" s="11" t="s">
        <v>35</v>
      </c>
      <c r="E1298" s="11" t="s">
        <v>56</v>
      </c>
      <c r="F1298" s="11" t="s">
        <v>45</v>
      </c>
      <c r="G1298" s="11" t="n">
        <v>2</v>
      </c>
      <c r="H1298" s="21" t="n">
        <v>110</v>
      </c>
      <c r="I1298" s="21" t="n">
        <v>62</v>
      </c>
      <c r="J1298" s="22" t="n">
        <v>0.1</v>
      </c>
      <c r="K1298" s="21" t="n">
        <f aca="false">G1298*H1298*(1-J1298)</f>
        <v>198</v>
      </c>
      <c r="L1298" s="21" t="n">
        <f aca="false">G1298*I1298</f>
        <v>124</v>
      </c>
      <c r="M1298" s="21" t="n">
        <f aca="false">K1298-L1298</f>
        <v>74</v>
      </c>
      <c r="N1298" s="11" t="str">
        <f aca="false">TEXT(B1298,"mmm")</f>
        <v>Nov</v>
      </c>
    </row>
    <row r="1299" customFormat="false" ht="15" hidden="false" customHeight="false" outlineLevel="0" collapsed="false">
      <c r="A1299" s="11" t="s">
        <v>1360</v>
      </c>
      <c r="B1299" s="20" t="n">
        <v>45984</v>
      </c>
      <c r="C1299" s="11" t="s">
        <v>22</v>
      </c>
      <c r="D1299" s="11" t="s">
        <v>33</v>
      </c>
      <c r="E1299" s="11" t="s">
        <v>51</v>
      </c>
      <c r="F1299" s="11" t="s">
        <v>42</v>
      </c>
      <c r="G1299" s="11" t="n">
        <v>6</v>
      </c>
      <c r="H1299" s="21" t="n">
        <v>90</v>
      </c>
      <c r="I1299" s="21" t="n">
        <v>58</v>
      </c>
      <c r="J1299" s="22" t="n">
        <v>0.05</v>
      </c>
      <c r="K1299" s="21" t="n">
        <f aca="false">G1299*H1299*(1-J1299)</f>
        <v>513</v>
      </c>
      <c r="L1299" s="21" t="n">
        <f aca="false">G1299*I1299</f>
        <v>348</v>
      </c>
      <c r="M1299" s="21" t="n">
        <f aca="false">K1299-L1299</f>
        <v>165</v>
      </c>
      <c r="N1299" s="11" t="str">
        <f aca="false">TEXT(B1299,"mmm")</f>
        <v>Nov</v>
      </c>
    </row>
    <row r="1300" customFormat="false" ht="15" hidden="false" customHeight="false" outlineLevel="0" collapsed="false">
      <c r="A1300" s="11" t="s">
        <v>1361</v>
      </c>
      <c r="B1300" s="20" t="n">
        <v>45984</v>
      </c>
      <c r="C1300" s="11" t="s">
        <v>20</v>
      </c>
      <c r="D1300" s="11" t="s">
        <v>37</v>
      </c>
      <c r="E1300" s="11" t="s">
        <v>49</v>
      </c>
      <c r="F1300" s="11" t="s">
        <v>44</v>
      </c>
      <c r="G1300" s="11" t="n">
        <v>6</v>
      </c>
      <c r="H1300" s="21" t="n">
        <v>28</v>
      </c>
      <c r="I1300" s="21" t="n">
        <v>17</v>
      </c>
      <c r="J1300" s="22" t="n">
        <v>0</v>
      </c>
      <c r="K1300" s="21" t="n">
        <f aca="false">G1300*H1300*(1-J1300)</f>
        <v>168</v>
      </c>
      <c r="L1300" s="21" t="n">
        <f aca="false">G1300*I1300</f>
        <v>102</v>
      </c>
      <c r="M1300" s="21" t="n">
        <f aca="false">K1300-L1300</f>
        <v>66</v>
      </c>
      <c r="N1300" s="11" t="str">
        <f aca="false">TEXT(B1300,"mmm")</f>
        <v>Nov</v>
      </c>
    </row>
    <row r="1301" customFormat="false" ht="15" hidden="false" customHeight="false" outlineLevel="0" collapsed="false">
      <c r="A1301" s="11" t="s">
        <v>1362</v>
      </c>
      <c r="B1301" s="20" t="n">
        <v>45985</v>
      </c>
      <c r="C1301" s="11" t="s">
        <v>20</v>
      </c>
      <c r="D1301" s="11" t="s">
        <v>37</v>
      </c>
      <c r="E1301" s="11" t="s">
        <v>53</v>
      </c>
      <c r="F1301" s="11" t="s">
        <v>42</v>
      </c>
      <c r="G1301" s="11" t="n">
        <v>6</v>
      </c>
      <c r="H1301" s="21" t="n">
        <v>9</v>
      </c>
      <c r="I1301" s="21" t="n">
        <v>4.5</v>
      </c>
      <c r="J1301" s="22" t="n">
        <v>0.05</v>
      </c>
      <c r="K1301" s="21" t="n">
        <f aca="false">G1301*H1301*(1-J1301)</f>
        <v>51.3</v>
      </c>
      <c r="L1301" s="21" t="n">
        <f aca="false">G1301*I1301</f>
        <v>27</v>
      </c>
      <c r="M1301" s="21" t="n">
        <f aca="false">K1301-L1301</f>
        <v>24.3</v>
      </c>
      <c r="N1301" s="11" t="str">
        <f aca="false">TEXT(B1301,"mmm")</f>
        <v>Nov</v>
      </c>
    </row>
    <row r="1302" customFormat="false" ht="15" hidden="false" customHeight="false" outlineLevel="0" collapsed="false">
      <c r="A1302" s="11" t="s">
        <v>1363</v>
      </c>
      <c r="B1302" s="20" t="n">
        <v>45985</v>
      </c>
      <c r="C1302" s="11" t="s">
        <v>24</v>
      </c>
      <c r="D1302" s="11" t="s">
        <v>33</v>
      </c>
      <c r="E1302" s="11" t="s">
        <v>48</v>
      </c>
      <c r="F1302" s="11" t="s">
        <v>45</v>
      </c>
      <c r="G1302" s="11" t="n">
        <v>4</v>
      </c>
      <c r="H1302" s="21" t="n">
        <v>520</v>
      </c>
      <c r="I1302" s="21" t="n">
        <v>415</v>
      </c>
      <c r="J1302" s="22" t="n">
        <v>0.15</v>
      </c>
      <c r="K1302" s="21" t="n">
        <f aca="false">G1302*H1302*(1-J1302)</f>
        <v>1768</v>
      </c>
      <c r="L1302" s="21" t="n">
        <f aca="false">G1302*I1302</f>
        <v>1660</v>
      </c>
      <c r="M1302" s="21" t="n">
        <f aca="false">K1302-L1302</f>
        <v>108</v>
      </c>
      <c r="N1302" s="11" t="str">
        <f aca="false">TEXT(B1302,"mmm")</f>
        <v>Nov</v>
      </c>
    </row>
    <row r="1303" customFormat="false" ht="15" hidden="false" customHeight="false" outlineLevel="0" collapsed="false">
      <c r="A1303" s="11" t="s">
        <v>1364</v>
      </c>
      <c r="B1303" s="20" t="n">
        <v>45985</v>
      </c>
      <c r="C1303" s="11" t="s">
        <v>24</v>
      </c>
      <c r="D1303" s="11" t="s">
        <v>37</v>
      </c>
      <c r="E1303" s="11" t="s">
        <v>49</v>
      </c>
      <c r="F1303" s="11" t="s">
        <v>44</v>
      </c>
      <c r="G1303" s="11" t="n">
        <v>17</v>
      </c>
      <c r="H1303" s="21" t="n">
        <v>28</v>
      </c>
      <c r="I1303" s="21" t="n">
        <v>17</v>
      </c>
      <c r="J1303" s="22" t="n">
        <v>0.1</v>
      </c>
      <c r="K1303" s="21" t="n">
        <f aca="false">G1303*H1303*(1-J1303)</f>
        <v>428.4</v>
      </c>
      <c r="L1303" s="21" t="n">
        <f aca="false">G1303*I1303</f>
        <v>289</v>
      </c>
      <c r="M1303" s="21" t="n">
        <f aca="false">K1303-L1303</f>
        <v>139.4</v>
      </c>
      <c r="N1303" s="11" t="str">
        <f aca="false">TEXT(B1303,"mmm")</f>
        <v>Nov</v>
      </c>
    </row>
    <row r="1304" customFormat="false" ht="15" hidden="false" customHeight="false" outlineLevel="0" collapsed="false">
      <c r="A1304" s="11" t="s">
        <v>1365</v>
      </c>
      <c r="B1304" s="20" t="n">
        <v>45985</v>
      </c>
      <c r="C1304" s="11" t="s">
        <v>18</v>
      </c>
      <c r="D1304" s="11" t="s">
        <v>37</v>
      </c>
      <c r="E1304" s="11" t="s">
        <v>53</v>
      </c>
      <c r="F1304" s="11" t="s">
        <v>42</v>
      </c>
      <c r="G1304" s="11" t="n">
        <v>38</v>
      </c>
      <c r="H1304" s="21" t="n">
        <v>9</v>
      </c>
      <c r="I1304" s="21" t="n">
        <v>4.5</v>
      </c>
      <c r="J1304" s="22" t="n">
        <v>0.1</v>
      </c>
      <c r="K1304" s="21" t="n">
        <f aca="false">G1304*H1304*(1-J1304)</f>
        <v>307.8</v>
      </c>
      <c r="L1304" s="21" t="n">
        <f aca="false">G1304*I1304</f>
        <v>171</v>
      </c>
      <c r="M1304" s="21" t="n">
        <f aca="false">K1304-L1304</f>
        <v>136.8</v>
      </c>
      <c r="N1304" s="11" t="str">
        <f aca="false">TEXT(B1304,"mmm")</f>
        <v>Nov</v>
      </c>
    </row>
    <row r="1305" customFormat="false" ht="15" hidden="false" customHeight="false" outlineLevel="0" collapsed="false">
      <c r="A1305" s="11" t="s">
        <v>1366</v>
      </c>
      <c r="B1305" s="20" t="n">
        <v>45985</v>
      </c>
      <c r="C1305" s="11" t="s">
        <v>24</v>
      </c>
      <c r="D1305" s="11" t="s">
        <v>37</v>
      </c>
      <c r="E1305" s="11" t="s">
        <v>53</v>
      </c>
      <c r="F1305" s="11" t="s">
        <v>45</v>
      </c>
      <c r="G1305" s="11" t="n">
        <v>111</v>
      </c>
      <c r="H1305" s="21" t="n">
        <v>9</v>
      </c>
      <c r="I1305" s="21" t="n">
        <v>4.5</v>
      </c>
      <c r="J1305" s="22" t="n">
        <v>0.15</v>
      </c>
      <c r="K1305" s="21" t="n">
        <f aca="false">G1305*H1305*(1-J1305)</f>
        <v>849.15</v>
      </c>
      <c r="L1305" s="21" t="n">
        <f aca="false">G1305*I1305</f>
        <v>499.5</v>
      </c>
      <c r="M1305" s="21" t="n">
        <f aca="false">K1305-L1305</f>
        <v>349.65</v>
      </c>
      <c r="N1305" s="11" t="str">
        <f aca="false">TEXT(B1305,"mmm")</f>
        <v>Nov</v>
      </c>
    </row>
    <row r="1306" customFormat="false" ht="15" hidden="false" customHeight="false" outlineLevel="0" collapsed="false">
      <c r="A1306" s="11" t="s">
        <v>1367</v>
      </c>
      <c r="B1306" s="20" t="n">
        <v>45985</v>
      </c>
      <c r="C1306" s="11" t="s">
        <v>18</v>
      </c>
      <c r="D1306" s="11" t="s">
        <v>33</v>
      </c>
      <c r="E1306" s="11" t="s">
        <v>51</v>
      </c>
      <c r="F1306" s="11" t="s">
        <v>45</v>
      </c>
      <c r="G1306" s="11" t="n">
        <v>12</v>
      </c>
      <c r="H1306" s="21" t="n">
        <v>90</v>
      </c>
      <c r="I1306" s="21" t="n">
        <v>58</v>
      </c>
      <c r="J1306" s="22" t="n">
        <v>0.15</v>
      </c>
      <c r="K1306" s="21" t="n">
        <f aca="false">G1306*H1306*(1-J1306)</f>
        <v>918</v>
      </c>
      <c r="L1306" s="21" t="n">
        <f aca="false">G1306*I1306</f>
        <v>696</v>
      </c>
      <c r="M1306" s="21" t="n">
        <f aca="false">K1306-L1306</f>
        <v>222</v>
      </c>
      <c r="N1306" s="11" t="str">
        <f aca="false">TEXT(B1306,"mmm")</f>
        <v>Nov</v>
      </c>
    </row>
    <row r="1307" customFormat="false" ht="15" hidden="false" customHeight="false" outlineLevel="0" collapsed="false">
      <c r="A1307" s="11" t="s">
        <v>1368</v>
      </c>
      <c r="B1307" s="20" t="n">
        <v>45985</v>
      </c>
      <c r="C1307" s="11" t="s">
        <v>22</v>
      </c>
      <c r="D1307" s="11" t="s">
        <v>37</v>
      </c>
      <c r="E1307" s="11" t="s">
        <v>53</v>
      </c>
      <c r="F1307" s="11" t="s">
        <v>44</v>
      </c>
      <c r="G1307" s="11" t="n">
        <v>10</v>
      </c>
      <c r="H1307" s="21" t="n">
        <v>9</v>
      </c>
      <c r="I1307" s="21" t="n">
        <v>4.5</v>
      </c>
      <c r="J1307" s="22" t="n">
        <v>0</v>
      </c>
      <c r="K1307" s="21" t="n">
        <f aca="false">G1307*H1307*(1-J1307)</f>
        <v>90</v>
      </c>
      <c r="L1307" s="21" t="n">
        <f aca="false">G1307*I1307</f>
        <v>45</v>
      </c>
      <c r="M1307" s="21" t="n">
        <f aca="false">K1307-L1307</f>
        <v>45</v>
      </c>
      <c r="N1307" s="11" t="str">
        <f aca="false">TEXT(B1307,"mmm")</f>
        <v>Nov</v>
      </c>
    </row>
    <row r="1308" customFormat="false" ht="15" hidden="false" customHeight="false" outlineLevel="0" collapsed="false">
      <c r="A1308" s="11" t="s">
        <v>1369</v>
      </c>
      <c r="B1308" s="20" t="n">
        <v>45985</v>
      </c>
      <c r="C1308" s="11" t="s">
        <v>20</v>
      </c>
      <c r="D1308" s="11" t="s">
        <v>37</v>
      </c>
      <c r="E1308" s="11" t="s">
        <v>52</v>
      </c>
      <c r="F1308" s="11" t="s">
        <v>44</v>
      </c>
      <c r="G1308" s="11" t="n">
        <v>39</v>
      </c>
      <c r="H1308" s="21" t="n">
        <v>12</v>
      </c>
      <c r="I1308" s="21" t="n">
        <v>6</v>
      </c>
      <c r="J1308" s="22" t="n">
        <v>0.05</v>
      </c>
      <c r="K1308" s="21" t="n">
        <f aca="false">G1308*H1308*(1-J1308)</f>
        <v>444.6</v>
      </c>
      <c r="L1308" s="21" t="n">
        <f aca="false">G1308*I1308</f>
        <v>234</v>
      </c>
      <c r="M1308" s="21" t="n">
        <f aca="false">K1308-L1308</f>
        <v>210.6</v>
      </c>
      <c r="N1308" s="11" t="str">
        <f aca="false">TEXT(B1308,"mmm")</f>
        <v>Nov</v>
      </c>
    </row>
    <row r="1309" customFormat="false" ht="15" hidden="false" customHeight="false" outlineLevel="0" collapsed="false">
      <c r="A1309" s="11" t="s">
        <v>1370</v>
      </c>
      <c r="B1309" s="20" t="n">
        <v>45985</v>
      </c>
      <c r="C1309" s="11" t="s">
        <v>22</v>
      </c>
      <c r="D1309" s="11" t="s">
        <v>35</v>
      </c>
      <c r="E1309" s="11" t="s">
        <v>56</v>
      </c>
      <c r="F1309" s="11" t="s">
        <v>45</v>
      </c>
      <c r="G1309" s="11" t="n">
        <v>2</v>
      </c>
      <c r="H1309" s="21" t="n">
        <v>110</v>
      </c>
      <c r="I1309" s="21" t="n">
        <v>62</v>
      </c>
      <c r="J1309" s="22" t="n">
        <v>0.2</v>
      </c>
      <c r="K1309" s="21" t="n">
        <f aca="false">G1309*H1309*(1-J1309)</f>
        <v>176</v>
      </c>
      <c r="L1309" s="21" t="n">
        <f aca="false">G1309*I1309</f>
        <v>124</v>
      </c>
      <c r="M1309" s="21" t="n">
        <f aca="false">K1309-L1309</f>
        <v>52</v>
      </c>
      <c r="N1309" s="11" t="str">
        <f aca="false">TEXT(B1309,"mmm")</f>
        <v>Nov</v>
      </c>
    </row>
    <row r="1310" customFormat="false" ht="15" hidden="false" customHeight="false" outlineLevel="0" collapsed="false">
      <c r="A1310" s="11" t="s">
        <v>1371</v>
      </c>
      <c r="B1310" s="20" t="n">
        <v>45985</v>
      </c>
      <c r="C1310" s="11" t="s">
        <v>20</v>
      </c>
      <c r="D1310" s="11" t="s">
        <v>37</v>
      </c>
      <c r="E1310" s="11" t="s">
        <v>52</v>
      </c>
      <c r="F1310" s="11" t="s">
        <v>44</v>
      </c>
      <c r="G1310" s="11" t="n">
        <v>38</v>
      </c>
      <c r="H1310" s="21" t="n">
        <v>12</v>
      </c>
      <c r="I1310" s="21" t="n">
        <v>6</v>
      </c>
      <c r="J1310" s="22" t="n">
        <v>0</v>
      </c>
      <c r="K1310" s="21" t="n">
        <f aca="false">G1310*H1310*(1-J1310)</f>
        <v>456</v>
      </c>
      <c r="L1310" s="21" t="n">
        <f aca="false">G1310*I1310</f>
        <v>228</v>
      </c>
      <c r="M1310" s="21" t="n">
        <f aca="false">K1310-L1310</f>
        <v>228</v>
      </c>
      <c r="N1310" s="11" t="str">
        <f aca="false">TEXT(B1310,"mmm")</f>
        <v>Nov</v>
      </c>
    </row>
    <row r="1311" customFormat="false" ht="15" hidden="false" customHeight="false" outlineLevel="0" collapsed="false">
      <c r="A1311" s="11" t="s">
        <v>1372</v>
      </c>
      <c r="B1311" s="20" t="n">
        <v>45985</v>
      </c>
      <c r="C1311" s="11" t="s">
        <v>20</v>
      </c>
      <c r="D1311" s="11" t="s">
        <v>37</v>
      </c>
      <c r="E1311" s="11" t="s">
        <v>53</v>
      </c>
      <c r="F1311" s="11" t="s">
        <v>42</v>
      </c>
      <c r="G1311" s="11" t="n">
        <v>17</v>
      </c>
      <c r="H1311" s="21" t="n">
        <v>9</v>
      </c>
      <c r="I1311" s="21" t="n">
        <v>4.5</v>
      </c>
      <c r="J1311" s="22" t="n">
        <v>0.1</v>
      </c>
      <c r="K1311" s="21" t="n">
        <f aca="false">G1311*H1311*(1-J1311)</f>
        <v>137.7</v>
      </c>
      <c r="L1311" s="21" t="n">
        <f aca="false">G1311*I1311</f>
        <v>76.5</v>
      </c>
      <c r="M1311" s="21" t="n">
        <f aca="false">K1311-L1311</f>
        <v>61.2</v>
      </c>
      <c r="N1311" s="11" t="str">
        <f aca="false">TEXT(B1311,"mmm")</f>
        <v>Nov</v>
      </c>
    </row>
    <row r="1312" customFormat="false" ht="15" hidden="false" customHeight="false" outlineLevel="0" collapsed="false">
      <c r="A1312" s="11" t="s">
        <v>1373</v>
      </c>
      <c r="B1312" s="20" t="n">
        <v>45985</v>
      </c>
      <c r="C1312" s="11" t="s">
        <v>20</v>
      </c>
      <c r="D1312" s="11" t="s">
        <v>37</v>
      </c>
      <c r="E1312" s="11" t="s">
        <v>53</v>
      </c>
      <c r="F1312" s="11" t="s">
        <v>44</v>
      </c>
      <c r="G1312" s="11" t="n">
        <v>3</v>
      </c>
      <c r="H1312" s="21" t="n">
        <v>9</v>
      </c>
      <c r="I1312" s="21" t="n">
        <v>4.5</v>
      </c>
      <c r="J1312" s="22" t="n">
        <v>0</v>
      </c>
      <c r="K1312" s="21" t="n">
        <f aca="false">G1312*H1312*(1-J1312)</f>
        <v>27</v>
      </c>
      <c r="L1312" s="21" t="n">
        <f aca="false">G1312*I1312</f>
        <v>13.5</v>
      </c>
      <c r="M1312" s="21" t="n">
        <f aca="false">K1312-L1312</f>
        <v>13.5</v>
      </c>
      <c r="N1312" s="11" t="str">
        <f aca="false">TEXT(B1312,"mmm")</f>
        <v>Nov</v>
      </c>
    </row>
    <row r="1313" customFormat="false" ht="15" hidden="false" customHeight="false" outlineLevel="0" collapsed="false">
      <c r="A1313" s="11" t="s">
        <v>1374</v>
      </c>
      <c r="B1313" s="20" t="n">
        <v>45985</v>
      </c>
      <c r="C1313" s="11" t="s">
        <v>20</v>
      </c>
      <c r="D1313" s="11" t="s">
        <v>35</v>
      </c>
      <c r="E1313" s="11" t="s">
        <v>54</v>
      </c>
      <c r="F1313" s="11" t="s">
        <v>42</v>
      </c>
      <c r="G1313" s="11" t="n">
        <v>3</v>
      </c>
      <c r="H1313" s="21" t="n">
        <v>320</v>
      </c>
      <c r="I1313" s="21" t="n">
        <v>185</v>
      </c>
      <c r="J1313" s="22" t="n">
        <v>0.05</v>
      </c>
      <c r="K1313" s="21" t="n">
        <f aca="false">G1313*H1313*(1-J1313)</f>
        <v>912</v>
      </c>
      <c r="L1313" s="21" t="n">
        <f aca="false">G1313*I1313</f>
        <v>555</v>
      </c>
      <c r="M1313" s="21" t="n">
        <f aca="false">K1313-L1313</f>
        <v>357</v>
      </c>
      <c r="N1313" s="11" t="str">
        <f aca="false">TEXT(B1313,"mmm")</f>
        <v>Nov</v>
      </c>
    </row>
    <row r="1314" customFormat="false" ht="15" hidden="false" customHeight="false" outlineLevel="0" collapsed="false">
      <c r="A1314" s="11" t="s">
        <v>1375</v>
      </c>
      <c r="B1314" s="20" t="n">
        <v>45985</v>
      </c>
      <c r="C1314" s="11" t="s">
        <v>20</v>
      </c>
      <c r="D1314" s="11" t="s">
        <v>33</v>
      </c>
      <c r="E1314" s="11" t="s">
        <v>51</v>
      </c>
      <c r="F1314" s="11" t="s">
        <v>42</v>
      </c>
      <c r="G1314" s="11" t="n">
        <v>3</v>
      </c>
      <c r="H1314" s="21" t="n">
        <v>90</v>
      </c>
      <c r="I1314" s="21" t="n">
        <v>58</v>
      </c>
      <c r="J1314" s="22" t="n">
        <v>0.1</v>
      </c>
      <c r="K1314" s="21" t="n">
        <f aca="false">G1314*H1314*(1-J1314)</f>
        <v>243</v>
      </c>
      <c r="L1314" s="21" t="n">
        <f aca="false">G1314*I1314</f>
        <v>174</v>
      </c>
      <c r="M1314" s="21" t="n">
        <f aca="false">K1314-L1314</f>
        <v>69</v>
      </c>
      <c r="N1314" s="11" t="str">
        <f aca="false">TEXT(B1314,"mmm")</f>
        <v>Nov</v>
      </c>
    </row>
    <row r="1315" customFormat="false" ht="15" hidden="false" customHeight="false" outlineLevel="0" collapsed="false">
      <c r="A1315" s="11" t="s">
        <v>1376</v>
      </c>
      <c r="B1315" s="20" t="n">
        <v>45986</v>
      </c>
      <c r="C1315" s="11" t="s">
        <v>20</v>
      </c>
      <c r="D1315" s="11" t="s">
        <v>33</v>
      </c>
      <c r="E1315" s="11" t="s">
        <v>50</v>
      </c>
      <c r="F1315" s="11" t="s">
        <v>42</v>
      </c>
      <c r="G1315" s="11" t="n">
        <v>2</v>
      </c>
      <c r="H1315" s="21" t="n">
        <v>780</v>
      </c>
      <c r="I1315" s="21" t="n">
        <v>600</v>
      </c>
      <c r="J1315" s="22" t="n">
        <v>0</v>
      </c>
      <c r="K1315" s="21" t="n">
        <f aca="false">G1315*H1315*(1-J1315)</f>
        <v>1560</v>
      </c>
      <c r="L1315" s="21" t="n">
        <f aca="false">G1315*I1315</f>
        <v>1200</v>
      </c>
      <c r="M1315" s="21" t="n">
        <f aca="false">K1315-L1315</f>
        <v>360</v>
      </c>
      <c r="N1315" s="11" t="str">
        <f aca="false">TEXT(B1315,"mmm")</f>
        <v>Nov</v>
      </c>
    </row>
    <row r="1316" customFormat="false" ht="15" hidden="false" customHeight="false" outlineLevel="0" collapsed="false">
      <c r="A1316" s="11" t="s">
        <v>1377</v>
      </c>
      <c r="B1316" s="20" t="n">
        <v>45986</v>
      </c>
      <c r="C1316" s="11" t="s">
        <v>18</v>
      </c>
      <c r="D1316" s="11" t="s">
        <v>35</v>
      </c>
      <c r="E1316" s="11" t="s">
        <v>55</v>
      </c>
      <c r="F1316" s="11" t="s">
        <v>42</v>
      </c>
      <c r="G1316" s="11" t="n">
        <v>4</v>
      </c>
      <c r="H1316" s="21" t="n">
        <v>150</v>
      </c>
      <c r="I1316" s="21" t="n">
        <v>82</v>
      </c>
      <c r="J1316" s="22" t="n">
        <v>0</v>
      </c>
      <c r="K1316" s="21" t="n">
        <f aca="false">G1316*H1316*(1-J1316)</f>
        <v>600</v>
      </c>
      <c r="L1316" s="21" t="n">
        <f aca="false">G1316*I1316</f>
        <v>328</v>
      </c>
      <c r="M1316" s="21" t="n">
        <f aca="false">K1316-L1316</f>
        <v>272</v>
      </c>
      <c r="N1316" s="11" t="str">
        <f aca="false">TEXT(B1316,"mmm")</f>
        <v>Nov</v>
      </c>
    </row>
    <row r="1317" customFormat="false" ht="15" hidden="false" customHeight="false" outlineLevel="0" collapsed="false">
      <c r="A1317" s="11" t="s">
        <v>1378</v>
      </c>
      <c r="B1317" s="20" t="n">
        <v>45986</v>
      </c>
      <c r="C1317" s="11" t="s">
        <v>18</v>
      </c>
      <c r="D1317" s="11" t="s">
        <v>33</v>
      </c>
      <c r="E1317" s="11" t="s">
        <v>50</v>
      </c>
      <c r="F1317" s="11" t="s">
        <v>44</v>
      </c>
      <c r="G1317" s="11" t="n">
        <v>1</v>
      </c>
      <c r="H1317" s="21" t="n">
        <v>780</v>
      </c>
      <c r="I1317" s="21" t="n">
        <v>600</v>
      </c>
      <c r="J1317" s="22" t="n">
        <v>0</v>
      </c>
      <c r="K1317" s="21" t="n">
        <f aca="false">G1317*H1317*(1-J1317)</f>
        <v>780</v>
      </c>
      <c r="L1317" s="21" t="n">
        <f aca="false">G1317*I1317</f>
        <v>600</v>
      </c>
      <c r="M1317" s="21" t="n">
        <f aca="false">K1317-L1317</f>
        <v>180</v>
      </c>
      <c r="N1317" s="11" t="str">
        <f aca="false">TEXT(B1317,"mmm")</f>
        <v>Nov</v>
      </c>
    </row>
    <row r="1318" customFormat="false" ht="15" hidden="false" customHeight="false" outlineLevel="0" collapsed="false">
      <c r="A1318" s="11" t="s">
        <v>1379</v>
      </c>
      <c r="B1318" s="20" t="n">
        <v>45986</v>
      </c>
      <c r="C1318" s="11" t="s">
        <v>20</v>
      </c>
      <c r="D1318" s="11" t="s">
        <v>37</v>
      </c>
      <c r="E1318" s="11" t="s">
        <v>52</v>
      </c>
      <c r="F1318" s="11" t="s">
        <v>44</v>
      </c>
      <c r="G1318" s="11" t="n">
        <v>38</v>
      </c>
      <c r="H1318" s="21" t="n">
        <v>12</v>
      </c>
      <c r="I1318" s="21" t="n">
        <v>6</v>
      </c>
      <c r="J1318" s="22" t="n">
        <v>0.1</v>
      </c>
      <c r="K1318" s="21" t="n">
        <f aca="false">G1318*H1318*(1-J1318)</f>
        <v>410.4</v>
      </c>
      <c r="L1318" s="21" t="n">
        <f aca="false">G1318*I1318</f>
        <v>228</v>
      </c>
      <c r="M1318" s="21" t="n">
        <f aca="false">K1318-L1318</f>
        <v>182.4</v>
      </c>
      <c r="N1318" s="11" t="str">
        <f aca="false">TEXT(B1318,"mmm")</f>
        <v>Nov</v>
      </c>
    </row>
    <row r="1319" customFormat="false" ht="15" hidden="false" customHeight="false" outlineLevel="0" collapsed="false">
      <c r="A1319" s="11" t="s">
        <v>1380</v>
      </c>
      <c r="B1319" s="20" t="n">
        <v>45986</v>
      </c>
      <c r="C1319" s="11" t="s">
        <v>20</v>
      </c>
      <c r="D1319" s="11" t="s">
        <v>37</v>
      </c>
      <c r="E1319" s="11" t="s">
        <v>52</v>
      </c>
      <c r="F1319" s="11" t="s">
        <v>45</v>
      </c>
      <c r="G1319" s="11" t="n">
        <v>6</v>
      </c>
      <c r="H1319" s="21" t="n">
        <v>12</v>
      </c>
      <c r="I1319" s="21" t="n">
        <v>6</v>
      </c>
      <c r="J1319" s="22" t="n">
        <v>0.15</v>
      </c>
      <c r="K1319" s="21" t="n">
        <f aca="false">G1319*H1319*(1-J1319)</f>
        <v>61.2</v>
      </c>
      <c r="L1319" s="21" t="n">
        <f aca="false">G1319*I1319</f>
        <v>36</v>
      </c>
      <c r="M1319" s="21" t="n">
        <f aca="false">K1319-L1319</f>
        <v>25.2</v>
      </c>
      <c r="N1319" s="11" t="str">
        <f aca="false">TEXT(B1319,"mmm")</f>
        <v>Nov</v>
      </c>
    </row>
    <row r="1320" customFormat="false" ht="15" hidden="false" customHeight="false" outlineLevel="0" collapsed="false">
      <c r="A1320" s="11" t="s">
        <v>1381</v>
      </c>
      <c r="B1320" s="20" t="n">
        <v>45986</v>
      </c>
      <c r="C1320" s="11" t="s">
        <v>22</v>
      </c>
      <c r="D1320" s="11" t="s">
        <v>35</v>
      </c>
      <c r="E1320" s="11" t="s">
        <v>56</v>
      </c>
      <c r="F1320" s="11" t="s">
        <v>44</v>
      </c>
      <c r="G1320" s="11" t="n">
        <v>3</v>
      </c>
      <c r="H1320" s="21" t="n">
        <v>110</v>
      </c>
      <c r="I1320" s="21" t="n">
        <v>62</v>
      </c>
      <c r="J1320" s="22" t="n">
        <v>0.05</v>
      </c>
      <c r="K1320" s="21" t="n">
        <f aca="false">G1320*H1320*(1-J1320)</f>
        <v>313.5</v>
      </c>
      <c r="L1320" s="21" t="n">
        <f aca="false">G1320*I1320</f>
        <v>186</v>
      </c>
      <c r="M1320" s="21" t="n">
        <f aca="false">K1320-L1320</f>
        <v>127.5</v>
      </c>
      <c r="N1320" s="11" t="str">
        <f aca="false">TEXT(B1320,"mmm")</f>
        <v>Nov</v>
      </c>
    </row>
    <row r="1321" customFormat="false" ht="15" hidden="false" customHeight="false" outlineLevel="0" collapsed="false">
      <c r="A1321" s="11" t="s">
        <v>1382</v>
      </c>
      <c r="B1321" s="20" t="n">
        <v>45987</v>
      </c>
      <c r="C1321" s="11" t="s">
        <v>20</v>
      </c>
      <c r="D1321" s="11" t="s">
        <v>35</v>
      </c>
      <c r="E1321" s="11" t="s">
        <v>55</v>
      </c>
      <c r="F1321" s="11" t="s">
        <v>45</v>
      </c>
      <c r="G1321" s="11" t="n">
        <v>4</v>
      </c>
      <c r="H1321" s="21" t="n">
        <v>150</v>
      </c>
      <c r="I1321" s="21" t="n">
        <v>82</v>
      </c>
      <c r="J1321" s="22" t="n">
        <v>0.1</v>
      </c>
      <c r="K1321" s="21" t="n">
        <f aca="false">G1321*H1321*(1-J1321)</f>
        <v>540</v>
      </c>
      <c r="L1321" s="21" t="n">
        <f aca="false">G1321*I1321</f>
        <v>328</v>
      </c>
      <c r="M1321" s="21" t="n">
        <f aca="false">K1321-L1321</f>
        <v>212</v>
      </c>
      <c r="N1321" s="11" t="str">
        <f aca="false">TEXT(B1321,"mmm")</f>
        <v>Nov</v>
      </c>
    </row>
    <row r="1322" customFormat="false" ht="15" hidden="false" customHeight="false" outlineLevel="0" collapsed="false">
      <c r="A1322" s="11" t="s">
        <v>1383</v>
      </c>
      <c r="B1322" s="20" t="n">
        <v>45987</v>
      </c>
      <c r="C1322" s="11" t="s">
        <v>20</v>
      </c>
      <c r="D1322" s="11" t="s">
        <v>37</v>
      </c>
      <c r="E1322" s="11" t="s">
        <v>49</v>
      </c>
      <c r="F1322" s="11" t="s">
        <v>44</v>
      </c>
      <c r="G1322" s="11" t="n">
        <v>7</v>
      </c>
      <c r="H1322" s="21" t="n">
        <v>28</v>
      </c>
      <c r="I1322" s="21" t="n">
        <v>17</v>
      </c>
      <c r="J1322" s="22" t="n">
        <v>0</v>
      </c>
      <c r="K1322" s="21" t="n">
        <f aca="false">G1322*H1322*(1-J1322)</f>
        <v>196</v>
      </c>
      <c r="L1322" s="21" t="n">
        <f aca="false">G1322*I1322</f>
        <v>119</v>
      </c>
      <c r="M1322" s="21" t="n">
        <f aca="false">K1322-L1322</f>
        <v>77</v>
      </c>
      <c r="N1322" s="11" t="str">
        <f aca="false">TEXT(B1322,"mmm")</f>
        <v>Nov</v>
      </c>
    </row>
    <row r="1323" customFormat="false" ht="15" hidden="false" customHeight="false" outlineLevel="0" collapsed="false">
      <c r="A1323" s="11" t="s">
        <v>1384</v>
      </c>
      <c r="B1323" s="20" t="n">
        <v>45987</v>
      </c>
      <c r="C1323" s="11" t="s">
        <v>22</v>
      </c>
      <c r="D1323" s="11" t="s">
        <v>33</v>
      </c>
      <c r="E1323" s="11" t="s">
        <v>51</v>
      </c>
      <c r="F1323" s="11" t="s">
        <v>44</v>
      </c>
      <c r="G1323" s="11" t="n">
        <v>1</v>
      </c>
      <c r="H1323" s="21" t="n">
        <v>90</v>
      </c>
      <c r="I1323" s="21" t="n">
        <v>58</v>
      </c>
      <c r="J1323" s="22" t="n">
        <v>0</v>
      </c>
      <c r="K1323" s="21" t="n">
        <f aca="false">G1323*H1323*(1-J1323)</f>
        <v>90</v>
      </c>
      <c r="L1323" s="21" t="n">
        <f aca="false">G1323*I1323</f>
        <v>58</v>
      </c>
      <c r="M1323" s="21" t="n">
        <f aca="false">K1323-L1323</f>
        <v>32</v>
      </c>
      <c r="N1323" s="11" t="str">
        <f aca="false">TEXT(B1323,"mmm")</f>
        <v>Nov</v>
      </c>
    </row>
    <row r="1324" customFormat="false" ht="15" hidden="false" customHeight="false" outlineLevel="0" collapsed="false">
      <c r="A1324" s="11" t="s">
        <v>1385</v>
      </c>
      <c r="B1324" s="20" t="n">
        <v>45988</v>
      </c>
      <c r="C1324" s="11" t="s">
        <v>18</v>
      </c>
      <c r="D1324" s="11" t="s">
        <v>33</v>
      </c>
      <c r="E1324" s="11" t="s">
        <v>50</v>
      </c>
      <c r="F1324" s="11" t="s">
        <v>44</v>
      </c>
      <c r="G1324" s="11" t="n">
        <v>3</v>
      </c>
      <c r="H1324" s="21" t="n">
        <v>780</v>
      </c>
      <c r="I1324" s="21" t="n">
        <v>600</v>
      </c>
      <c r="J1324" s="22" t="n">
        <v>0.05</v>
      </c>
      <c r="K1324" s="21" t="n">
        <f aca="false">G1324*H1324*(1-J1324)</f>
        <v>2223</v>
      </c>
      <c r="L1324" s="21" t="n">
        <f aca="false">G1324*I1324</f>
        <v>1800</v>
      </c>
      <c r="M1324" s="21" t="n">
        <f aca="false">K1324-L1324</f>
        <v>423</v>
      </c>
      <c r="N1324" s="11" t="str">
        <f aca="false">TEXT(B1324,"mmm")</f>
        <v>Nov</v>
      </c>
    </row>
    <row r="1325" customFormat="false" ht="15" hidden="false" customHeight="false" outlineLevel="0" collapsed="false">
      <c r="A1325" s="11" t="s">
        <v>1386</v>
      </c>
      <c r="B1325" s="20" t="n">
        <v>45988</v>
      </c>
      <c r="C1325" s="11" t="s">
        <v>22</v>
      </c>
      <c r="D1325" s="11" t="s">
        <v>35</v>
      </c>
      <c r="E1325" s="11" t="s">
        <v>56</v>
      </c>
      <c r="F1325" s="11" t="s">
        <v>44</v>
      </c>
      <c r="G1325" s="11" t="n">
        <v>2</v>
      </c>
      <c r="H1325" s="21" t="n">
        <v>110</v>
      </c>
      <c r="I1325" s="21" t="n">
        <v>62</v>
      </c>
      <c r="J1325" s="22" t="n">
        <v>0.05</v>
      </c>
      <c r="K1325" s="21" t="n">
        <f aca="false">G1325*H1325*(1-J1325)</f>
        <v>209</v>
      </c>
      <c r="L1325" s="21" t="n">
        <f aca="false">G1325*I1325</f>
        <v>124</v>
      </c>
      <c r="M1325" s="21" t="n">
        <f aca="false">K1325-L1325</f>
        <v>85</v>
      </c>
      <c r="N1325" s="11" t="str">
        <f aca="false">TEXT(B1325,"mmm")</f>
        <v>Nov</v>
      </c>
    </row>
    <row r="1326" customFormat="false" ht="15" hidden="false" customHeight="false" outlineLevel="0" collapsed="false">
      <c r="A1326" s="11" t="s">
        <v>1387</v>
      </c>
      <c r="B1326" s="20" t="n">
        <v>45988</v>
      </c>
      <c r="C1326" s="11" t="s">
        <v>20</v>
      </c>
      <c r="D1326" s="11" t="s">
        <v>33</v>
      </c>
      <c r="E1326" s="11" t="s">
        <v>51</v>
      </c>
      <c r="F1326" s="11" t="s">
        <v>44</v>
      </c>
      <c r="G1326" s="11" t="n">
        <v>2</v>
      </c>
      <c r="H1326" s="21" t="n">
        <v>90</v>
      </c>
      <c r="I1326" s="21" t="n">
        <v>58</v>
      </c>
      <c r="J1326" s="22" t="n">
        <v>0.1</v>
      </c>
      <c r="K1326" s="21" t="n">
        <f aca="false">G1326*H1326*(1-J1326)</f>
        <v>162</v>
      </c>
      <c r="L1326" s="21" t="n">
        <f aca="false">G1326*I1326</f>
        <v>116</v>
      </c>
      <c r="M1326" s="21" t="n">
        <f aca="false">K1326-L1326</f>
        <v>46</v>
      </c>
      <c r="N1326" s="11" t="str">
        <f aca="false">TEXT(B1326,"mmm")</f>
        <v>Nov</v>
      </c>
    </row>
    <row r="1327" customFormat="false" ht="15" hidden="false" customHeight="false" outlineLevel="0" collapsed="false">
      <c r="A1327" s="11" t="s">
        <v>1388</v>
      </c>
      <c r="B1327" s="20" t="n">
        <v>45988</v>
      </c>
      <c r="C1327" s="11" t="s">
        <v>18</v>
      </c>
      <c r="D1327" s="11" t="s">
        <v>37</v>
      </c>
      <c r="E1327" s="11" t="s">
        <v>49</v>
      </c>
      <c r="F1327" s="11" t="s">
        <v>45</v>
      </c>
      <c r="G1327" s="11" t="n">
        <v>36</v>
      </c>
      <c r="H1327" s="21" t="n">
        <v>28</v>
      </c>
      <c r="I1327" s="21" t="n">
        <v>17</v>
      </c>
      <c r="J1327" s="22" t="n">
        <v>0.1</v>
      </c>
      <c r="K1327" s="21" t="n">
        <f aca="false">G1327*H1327*(1-J1327)</f>
        <v>907.2</v>
      </c>
      <c r="L1327" s="21" t="n">
        <f aca="false">G1327*I1327</f>
        <v>612</v>
      </c>
      <c r="M1327" s="21" t="n">
        <f aca="false">K1327-L1327</f>
        <v>295.2</v>
      </c>
      <c r="N1327" s="11" t="str">
        <f aca="false">TEXT(B1327,"mmm")</f>
        <v>Nov</v>
      </c>
    </row>
    <row r="1328" customFormat="false" ht="15" hidden="false" customHeight="false" outlineLevel="0" collapsed="false">
      <c r="A1328" s="11" t="s">
        <v>1389</v>
      </c>
      <c r="B1328" s="20" t="n">
        <v>45989</v>
      </c>
      <c r="C1328" s="11" t="s">
        <v>22</v>
      </c>
      <c r="D1328" s="11" t="s">
        <v>37</v>
      </c>
      <c r="E1328" s="11" t="s">
        <v>49</v>
      </c>
      <c r="F1328" s="11" t="s">
        <v>42</v>
      </c>
      <c r="G1328" s="11" t="n">
        <v>2</v>
      </c>
      <c r="H1328" s="21" t="n">
        <v>28</v>
      </c>
      <c r="I1328" s="21" t="n">
        <v>17</v>
      </c>
      <c r="J1328" s="22" t="n">
        <v>0</v>
      </c>
      <c r="K1328" s="21" t="n">
        <f aca="false">G1328*H1328*(1-J1328)</f>
        <v>56</v>
      </c>
      <c r="L1328" s="21" t="n">
        <f aca="false">G1328*I1328</f>
        <v>34</v>
      </c>
      <c r="M1328" s="21" t="n">
        <f aca="false">K1328-L1328</f>
        <v>22</v>
      </c>
      <c r="N1328" s="11" t="str">
        <f aca="false">TEXT(B1328,"mmm")</f>
        <v>Nov</v>
      </c>
    </row>
    <row r="1329" customFormat="false" ht="15" hidden="false" customHeight="false" outlineLevel="0" collapsed="false">
      <c r="A1329" s="11" t="s">
        <v>1390</v>
      </c>
      <c r="B1329" s="20" t="n">
        <v>45989</v>
      </c>
      <c r="C1329" s="11" t="s">
        <v>20</v>
      </c>
      <c r="D1329" s="11" t="s">
        <v>37</v>
      </c>
      <c r="E1329" s="11" t="s">
        <v>49</v>
      </c>
      <c r="F1329" s="11" t="s">
        <v>44</v>
      </c>
      <c r="G1329" s="11" t="n">
        <v>36</v>
      </c>
      <c r="H1329" s="21" t="n">
        <v>28</v>
      </c>
      <c r="I1329" s="21" t="n">
        <v>17</v>
      </c>
      <c r="J1329" s="22" t="n">
        <v>0</v>
      </c>
      <c r="K1329" s="21" t="n">
        <f aca="false">G1329*H1329*(1-J1329)</f>
        <v>1008</v>
      </c>
      <c r="L1329" s="21" t="n">
        <f aca="false">G1329*I1329</f>
        <v>612</v>
      </c>
      <c r="M1329" s="21" t="n">
        <f aca="false">K1329-L1329</f>
        <v>396</v>
      </c>
      <c r="N1329" s="11" t="str">
        <f aca="false">TEXT(B1329,"mmm")</f>
        <v>Nov</v>
      </c>
    </row>
    <row r="1330" customFormat="false" ht="15" hidden="false" customHeight="false" outlineLevel="0" collapsed="false">
      <c r="A1330" s="11" t="s">
        <v>1391</v>
      </c>
      <c r="B1330" s="20" t="n">
        <v>45989</v>
      </c>
      <c r="C1330" s="11" t="s">
        <v>22</v>
      </c>
      <c r="D1330" s="11" t="s">
        <v>35</v>
      </c>
      <c r="E1330" s="11" t="s">
        <v>56</v>
      </c>
      <c r="F1330" s="11" t="s">
        <v>44</v>
      </c>
      <c r="G1330" s="11" t="n">
        <v>3</v>
      </c>
      <c r="H1330" s="21" t="n">
        <v>110</v>
      </c>
      <c r="I1330" s="21" t="n">
        <v>62</v>
      </c>
      <c r="J1330" s="22" t="n">
        <v>0.1</v>
      </c>
      <c r="K1330" s="21" t="n">
        <f aca="false">G1330*H1330*(1-J1330)</f>
        <v>297</v>
      </c>
      <c r="L1330" s="21" t="n">
        <f aca="false">G1330*I1330</f>
        <v>186</v>
      </c>
      <c r="M1330" s="21" t="n">
        <f aca="false">K1330-L1330</f>
        <v>111</v>
      </c>
      <c r="N1330" s="11" t="str">
        <f aca="false">TEXT(B1330,"mmm")</f>
        <v>Nov</v>
      </c>
    </row>
    <row r="1331" customFormat="false" ht="15" hidden="false" customHeight="false" outlineLevel="0" collapsed="false">
      <c r="A1331" s="11" t="s">
        <v>1392</v>
      </c>
      <c r="B1331" s="20" t="n">
        <v>45989</v>
      </c>
      <c r="C1331" s="11" t="s">
        <v>18</v>
      </c>
      <c r="D1331" s="11" t="s">
        <v>35</v>
      </c>
      <c r="E1331" s="11" t="s">
        <v>55</v>
      </c>
      <c r="F1331" s="11" t="s">
        <v>42</v>
      </c>
      <c r="G1331" s="11" t="n">
        <v>3</v>
      </c>
      <c r="H1331" s="21" t="n">
        <v>150</v>
      </c>
      <c r="I1331" s="21" t="n">
        <v>82</v>
      </c>
      <c r="J1331" s="22" t="n">
        <v>0.15</v>
      </c>
      <c r="K1331" s="21" t="n">
        <f aca="false">G1331*H1331*(1-J1331)</f>
        <v>382.5</v>
      </c>
      <c r="L1331" s="21" t="n">
        <f aca="false">G1331*I1331</f>
        <v>246</v>
      </c>
      <c r="M1331" s="21" t="n">
        <f aca="false">K1331-L1331</f>
        <v>136.5</v>
      </c>
      <c r="N1331" s="11" t="str">
        <f aca="false">TEXT(B1331,"mmm")</f>
        <v>Nov</v>
      </c>
    </row>
    <row r="1332" customFormat="false" ht="15" hidden="false" customHeight="false" outlineLevel="0" collapsed="false">
      <c r="A1332" s="11" t="s">
        <v>1393</v>
      </c>
      <c r="B1332" s="20" t="n">
        <v>45989</v>
      </c>
      <c r="C1332" s="11" t="s">
        <v>20</v>
      </c>
      <c r="D1332" s="11" t="s">
        <v>33</v>
      </c>
      <c r="E1332" s="11" t="s">
        <v>48</v>
      </c>
      <c r="F1332" s="11" t="s">
        <v>42</v>
      </c>
      <c r="G1332" s="11" t="n">
        <v>3</v>
      </c>
      <c r="H1332" s="21" t="n">
        <v>520</v>
      </c>
      <c r="I1332" s="21" t="n">
        <v>415</v>
      </c>
      <c r="J1332" s="22" t="n">
        <v>0.1</v>
      </c>
      <c r="K1332" s="21" t="n">
        <f aca="false">G1332*H1332*(1-J1332)</f>
        <v>1404</v>
      </c>
      <c r="L1332" s="21" t="n">
        <f aca="false">G1332*I1332</f>
        <v>1245</v>
      </c>
      <c r="M1332" s="21" t="n">
        <f aca="false">K1332-L1332</f>
        <v>159</v>
      </c>
      <c r="N1332" s="11" t="str">
        <f aca="false">TEXT(B1332,"mmm")</f>
        <v>Nov</v>
      </c>
    </row>
    <row r="1333" customFormat="false" ht="15" hidden="false" customHeight="false" outlineLevel="0" collapsed="false">
      <c r="A1333" s="11" t="s">
        <v>1394</v>
      </c>
      <c r="B1333" s="20" t="n">
        <v>45989</v>
      </c>
      <c r="C1333" s="11" t="s">
        <v>18</v>
      </c>
      <c r="D1333" s="11" t="s">
        <v>33</v>
      </c>
      <c r="E1333" s="11" t="s">
        <v>51</v>
      </c>
      <c r="F1333" s="11" t="s">
        <v>42</v>
      </c>
      <c r="G1333" s="11" t="n">
        <v>3</v>
      </c>
      <c r="H1333" s="21" t="n">
        <v>90</v>
      </c>
      <c r="I1333" s="21" t="n">
        <v>58</v>
      </c>
      <c r="J1333" s="22" t="n">
        <v>0</v>
      </c>
      <c r="K1333" s="21" t="n">
        <f aca="false">G1333*H1333*(1-J1333)</f>
        <v>270</v>
      </c>
      <c r="L1333" s="21" t="n">
        <f aca="false">G1333*I1333</f>
        <v>174</v>
      </c>
      <c r="M1333" s="21" t="n">
        <f aca="false">K1333-L1333</f>
        <v>96</v>
      </c>
      <c r="N1333" s="11" t="str">
        <f aca="false">TEXT(B1333,"mmm")</f>
        <v>Nov</v>
      </c>
    </row>
    <row r="1334" customFormat="false" ht="15" hidden="false" customHeight="false" outlineLevel="0" collapsed="false">
      <c r="A1334" s="11" t="s">
        <v>1395</v>
      </c>
      <c r="B1334" s="20" t="n">
        <v>45989</v>
      </c>
      <c r="C1334" s="11" t="s">
        <v>20</v>
      </c>
      <c r="D1334" s="11" t="s">
        <v>33</v>
      </c>
      <c r="E1334" s="11" t="s">
        <v>51</v>
      </c>
      <c r="F1334" s="11" t="s">
        <v>42</v>
      </c>
      <c r="G1334" s="11" t="n">
        <v>3</v>
      </c>
      <c r="H1334" s="21" t="n">
        <v>90</v>
      </c>
      <c r="I1334" s="21" t="n">
        <v>58</v>
      </c>
      <c r="J1334" s="22" t="n">
        <v>0</v>
      </c>
      <c r="K1334" s="21" t="n">
        <f aca="false">G1334*H1334*(1-J1334)</f>
        <v>270</v>
      </c>
      <c r="L1334" s="21" t="n">
        <f aca="false">G1334*I1334</f>
        <v>174</v>
      </c>
      <c r="M1334" s="21" t="n">
        <f aca="false">K1334-L1334</f>
        <v>96</v>
      </c>
      <c r="N1334" s="11" t="str">
        <f aca="false">TEXT(B1334,"mmm")</f>
        <v>Nov</v>
      </c>
    </row>
    <row r="1335" customFormat="false" ht="15" hidden="false" customHeight="false" outlineLevel="0" collapsed="false">
      <c r="A1335" s="11" t="s">
        <v>1396</v>
      </c>
      <c r="B1335" s="20" t="n">
        <v>45992</v>
      </c>
      <c r="C1335" s="11" t="s">
        <v>22</v>
      </c>
      <c r="D1335" s="11" t="s">
        <v>37</v>
      </c>
      <c r="E1335" s="11" t="s">
        <v>49</v>
      </c>
      <c r="F1335" s="11" t="s">
        <v>42</v>
      </c>
      <c r="G1335" s="11" t="n">
        <v>10</v>
      </c>
      <c r="H1335" s="21" t="n">
        <v>28</v>
      </c>
      <c r="I1335" s="21" t="n">
        <v>17</v>
      </c>
      <c r="J1335" s="22" t="n">
        <v>0</v>
      </c>
      <c r="K1335" s="21" t="n">
        <f aca="false">G1335*H1335*(1-J1335)</f>
        <v>280</v>
      </c>
      <c r="L1335" s="21" t="n">
        <f aca="false">G1335*I1335</f>
        <v>170</v>
      </c>
      <c r="M1335" s="21" t="n">
        <f aca="false">K1335-L1335</f>
        <v>110</v>
      </c>
      <c r="N1335" s="11" t="str">
        <f aca="false">TEXT(B1335,"mmm")</f>
        <v>Dec</v>
      </c>
    </row>
    <row r="1336" customFormat="false" ht="15" hidden="false" customHeight="false" outlineLevel="0" collapsed="false">
      <c r="A1336" s="11" t="s">
        <v>1397</v>
      </c>
      <c r="B1336" s="20" t="n">
        <v>45992</v>
      </c>
      <c r="C1336" s="11" t="s">
        <v>24</v>
      </c>
      <c r="D1336" s="11" t="s">
        <v>33</v>
      </c>
      <c r="E1336" s="11" t="s">
        <v>51</v>
      </c>
      <c r="F1336" s="11" t="s">
        <v>44</v>
      </c>
      <c r="G1336" s="11" t="n">
        <v>5</v>
      </c>
      <c r="H1336" s="21" t="n">
        <v>90</v>
      </c>
      <c r="I1336" s="21" t="n">
        <v>58</v>
      </c>
      <c r="J1336" s="22" t="n">
        <v>0.05</v>
      </c>
      <c r="K1336" s="21" t="n">
        <f aca="false">G1336*H1336*(1-J1336)</f>
        <v>427.5</v>
      </c>
      <c r="L1336" s="21" t="n">
        <f aca="false">G1336*I1336</f>
        <v>290</v>
      </c>
      <c r="M1336" s="21" t="n">
        <f aca="false">K1336-L1336</f>
        <v>137.5</v>
      </c>
      <c r="N1336" s="11" t="str">
        <f aca="false">TEXT(B1336,"mmm")</f>
        <v>Dec</v>
      </c>
    </row>
    <row r="1337" customFormat="false" ht="15" hidden="false" customHeight="false" outlineLevel="0" collapsed="false">
      <c r="A1337" s="11" t="s">
        <v>1398</v>
      </c>
      <c r="B1337" s="20" t="n">
        <v>45992</v>
      </c>
      <c r="C1337" s="11" t="s">
        <v>20</v>
      </c>
      <c r="D1337" s="11" t="s">
        <v>33</v>
      </c>
      <c r="E1337" s="11" t="s">
        <v>48</v>
      </c>
      <c r="F1337" s="11" t="s">
        <v>42</v>
      </c>
      <c r="G1337" s="11" t="n">
        <v>1</v>
      </c>
      <c r="H1337" s="21" t="n">
        <v>520</v>
      </c>
      <c r="I1337" s="21" t="n">
        <v>415</v>
      </c>
      <c r="J1337" s="22" t="n">
        <v>0.05</v>
      </c>
      <c r="K1337" s="21" t="n">
        <f aca="false">G1337*H1337*(1-J1337)</f>
        <v>494</v>
      </c>
      <c r="L1337" s="21" t="n">
        <f aca="false">G1337*I1337</f>
        <v>415</v>
      </c>
      <c r="M1337" s="21" t="n">
        <f aca="false">K1337-L1337</f>
        <v>79</v>
      </c>
      <c r="N1337" s="11" t="str">
        <f aca="false">TEXT(B1337,"mmm")</f>
        <v>Dec</v>
      </c>
    </row>
    <row r="1338" customFormat="false" ht="15" hidden="false" customHeight="false" outlineLevel="0" collapsed="false">
      <c r="A1338" s="11" t="s">
        <v>1399</v>
      </c>
      <c r="B1338" s="20" t="n">
        <v>45992</v>
      </c>
      <c r="C1338" s="11" t="s">
        <v>18</v>
      </c>
      <c r="D1338" s="11" t="s">
        <v>33</v>
      </c>
      <c r="E1338" s="11" t="s">
        <v>50</v>
      </c>
      <c r="F1338" s="11" t="s">
        <v>42</v>
      </c>
      <c r="G1338" s="11" t="n">
        <v>3</v>
      </c>
      <c r="H1338" s="21" t="n">
        <v>780</v>
      </c>
      <c r="I1338" s="21" t="n">
        <v>600</v>
      </c>
      <c r="J1338" s="22" t="n">
        <v>0</v>
      </c>
      <c r="K1338" s="21" t="n">
        <f aca="false">G1338*H1338*(1-J1338)</f>
        <v>2340</v>
      </c>
      <c r="L1338" s="21" t="n">
        <f aca="false">G1338*I1338</f>
        <v>1800</v>
      </c>
      <c r="M1338" s="21" t="n">
        <f aca="false">K1338-L1338</f>
        <v>540</v>
      </c>
      <c r="N1338" s="11" t="str">
        <f aca="false">TEXT(B1338,"mmm")</f>
        <v>Dec</v>
      </c>
    </row>
    <row r="1339" customFormat="false" ht="15" hidden="false" customHeight="false" outlineLevel="0" collapsed="false">
      <c r="A1339" s="11" t="s">
        <v>1400</v>
      </c>
      <c r="B1339" s="20" t="n">
        <v>45993</v>
      </c>
      <c r="C1339" s="11" t="s">
        <v>18</v>
      </c>
      <c r="D1339" s="11" t="s">
        <v>37</v>
      </c>
      <c r="E1339" s="11" t="s">
        <v>52</v>
      </c>
      <c r="F1339" s="11" t="s">
        <v>42</v>
      </c>
      <c r="G1339" s="11" t="n">
        <v>21</v>
      </c>
      <c r="H1339" s="21" t="n">
        <v>12</v>
      </c>
      <c r="I1339" s="21" t="n">
        <v>6</v>
      </c>
      <c r="J1339" s="22" t="n">
        <v>0.05</v>
      </c>
      <c r="K1339" s="21" t="n">
        <f aca="false">G1339*H1339*(1-J1339)</f>
        <v>239.4</v>
      </c>
      <c r="L1339" s="21" t="n">
        <f aca="false">G1339*I1339</f>
        <v>126</v>
      </c>
      <c r="M1339" s="21" t="n">
        <f aca="false">K1339-L1339</f>
        <v>113.4</v>
      </c>
      <c r="N1339" s="11" t="str">
        <f aca="false">TEXT(B1339,"mmm")</f>
        <v>Dec</v>
      </c>
    </row>
    <row r="1340" customFormat="false" ht="15" hidden="false" customHeight="false" outlineLevel="0" collapsed="false">
      <c r="A1340" s="11" t="s">
        <v>1401</v>
      </c>
      <c r="B1340" s="20" t="n">
        <v>45993</v>
      </c>
      <c r="C1340" s="11" t="s">
        <v>20</v>
      </c>
      <c r="D1340" s="11" t="s">
        <v>35</v>
      </c>
      <c r="E1340" s="11" t="s">
        <v>55</v>
      </c>
      <c r="F1340" s="11" t="s">
        <v>42</v>
      </c>
      <c r="G1340" s="11" t="n">
        <v>4</v>
      </c>
      <c r="H1340" s="21" t="n">
        <v>150</v>
      </c>
      <c r="I1340" s="21" t="n">
        <v>82</v>
      </c>
      <c r="J1340" s="22" t="n">
        <v>0</v>
      </c>
      <c r="K1340" s="21" t="n">
        <f aca="false">G1340*H1340*(1-J1340)</f>
        <v>600</v>
      </c>
      <c r="L1340" s="21" t="n">
        <f aca="false">G1340*I1340</f>
        <v>328</v>
      </c>
      <c r="M1340" s="21" t="n">
        <f aca="false">K1340-L1340</f>
        <v>272</v>
      </c>
      <c r="N1340" s="11" t="str">
        <f aca="false">TEXT(B1340,"mmm")</f>
        <v>Dec</v>
      </c>
    </row>
    <row r="1341" customFormat="false" ht="15" hidden="false" customHeight="false" outlineLevel="0" collapsed="false">
      <c r="A1341" s="11" t="s">
        <v>1402</v>
      </c>
      <c r="B1341" s="20" t="n">
        <v>45993</v>
      </c>
      <c r="C1341" s="11" t="s">
        <v>22</v>
      </c>
      <c r="D1341" s="11" t="s">
        <v>35</v>
      </c>
      <c r="E1341" s="11" t="s">
        <v>54</v>
      </c>
      <c r="F1341" s="11" t="s">
        <v>42</v>
      </c>
      <c r="G1341" s="11" t="n">
        <v>1</v>
      </c>
      <c r="H1341" s="21" t="n">
        <v>320</v>
      </c>
      <c r="I1341" s="21" t="n">
        <v>185</v>
      </c>
      <c r="J1341" s="22" t="n">
        <v>0.15</v>
      </c>
      <c r="K1341" s="21" t="n">
        <f aca="false">G1341*H1341*(1-J1341)</f>
        <v>272</v>
      </c>
      <c r="L1341" s="21" t="n">
        <f aca="false">G1341*I1341</f>
        <v>185</v>
      </c>
      <c r="M1341" s="21" t="n">
        <f aca="false">K1341-L1341</f>
        <v>87</v>
      </c>
      <c r="N1341" s="11" t="str">
        <f aca="false">TEXT(B1341,"mmm")</f>
        <v>Dec</v>
      </c>
    </row>
    <row r="1342" customFormat="false" ht="15" hidden="false" customHeight="false" outlineLevel="0" collapsed="false">
      <c r="A1342" s="11" t="s">
        <v>1403</v>
      </c>
      <c r="B1342" s="20" t="n">
        <v>45993</v>
      </c>
      <c r="C1342" s="11" t="s">
        <v>18</v>
      </c>
      <c r="D1342" s="11" t="s">
        <v>37</v>
      </c>
      <c r="E1342" s="11" t="s">
        <v>52</v>
      </c>
      <c r="F1342" s="11" t="s">
        <v>44</v>
      </c>
      <c r="G1342" s="11" t="n">
        <v>26</v>
      </c>
      <c r="H1342" s="21" t="n">
        <v>12</v>
      </c>
      <c r="I1342" s="21" t="n">
        <v>6</v>
      </c>
      <c r="J1342" s="22" t="n">
        <v>0</v>
      </c>
      <c r="K1342" s="21" t="n">
        <f aca="false">G1342*H1342*(1-J1342)</f>
        <v>312</v>
      </c>
      <c r="L1342" s="21" t="n">
        <f aca="false">G1342*I1342</f>
        <v>156</v>
      </c>
      <c r="M1342" s="21" t="n">
        <f aca="false">K1342-L1342</f>
        <v>156</v>
      </c>
      <c r="N1342" s="11" t="str">
        <f aca="false">TEXT(B1342,"mmm")</f>
        <v>Dec</v>
      </c>
    </row>
    <row r="1343" customFormat="false" ht="15" hidden="false" customHeight="false" outlineLevel="0" collapsed="false">
      <c r="A1343" s="11" t="s">
        <v>1404</v>
      </c>
      <c r="B1343" s="20" t="n">
        <v>45993</v>
      </c>
      <c r="C1343" s="11" t="s">
        <v>20</v>
      </c>
      <c r="D1343" s="11" t="s">
        <v>37</v>
      </c>
      <c r="E1343" s="11" t="s">
        <v>49</v>
      </c>
      <c r="F1343" s="11" t="s">
        <v>45</v>
      </c>
      <c r="G1343" s="11" t="n">
        <v>90</v>
      </c>
      <c r="H1343" s="21" t="n">
        <v>28</v>
      </c>
      <c r="I1343" s="21" t="n">
        <v>17</v>
      </c>
      <c r="J1343" s="22" t="n">
        <v>0.15</v>
      </c>
      <c r="K1343" s="21" t="n">
        <f aca="false">G1343*H1343*(1-J1343)</f>
        <v>2142</v>
      </c>
      <c r="L1343" s="21" t="n">
        <f aca="false">G1343*I1343</f>
        <v>1530</v>
      </c>
      <c r="M1343" s="21" t="n">
        <f aca="false">K1343-L1343</f>
        <v>612</v>
      </c>
      <c r="N1343" s="11" t="str">
        <f aca="false">TEXT(B1343,"mmm")</f>
        <v>Dec</v>
      </c>
    </row>
    <row r="1344" customFormat="false" ht="15" hidden="false" customHeight="false" outlineLevel="0" collapsed="false">
      <c r="A1344" s="11" t="s">
        <v>1405</v>
      </c>
      <c r="B1344" s="20" t="n">
        <v>45993</v>
      </c>
      <c r="C1344" s="11" t="s">
        <v>22</v>
      </c>
      <c r="D1344" s="11" t="s">
        <v>37</v>
      </c>
      <c r="E1344" s="11" t="s">
        <v>52</v>
      </c>
      <c r="F1344" s="11" t="s">
        <v>44</v>
      </c>
      <c r="G1344" s="11" t="n">
        <v>26</v>
      </c>
      <c r="H1344" s="21" t="n">
        <v>12</v>
      </c>
      <c r="I1344" s="21" t="n">
        <v>6</v>
      </c>
      <c r="J1344" s="22" t="n">
        <v>0</v>
      </c>
      <c r="K1344" s="21" t="n">
        <f aca="false">G1344*H1344*(1-J1344)</f>
        <v>312</v>
      </c>
      <c r="L1344" s="21" t="n">
        <f aca="false">G1344*I1344</f>
        <v>156</v>
      </c>
      <c r="M1344" s="21" t="n">
        <f aca="false">K1344-L1344</f>
        <v>156</v>
      </c>
      <c r="N1344" s="11" t="str">
        <f aca="false">TEXT(B1344,"mmm")</f>
        <v>Dec</v>
      </c>
    </row>
    <row r="1345" customFormat="false" ht="15" hidden="false" customHeight="false" outlineLevel="0" collapsed="false">
      <c r="A1345" s="11" t="s">
        <v>1406</v>
      </c>
      <c r="B1345" s="20" t="n">
        <v>45993</v>
      </c>
      <c r="C1345" s="11" t="s">
        <v>22</v>
      </c>
      <c r="D1345" s="11" t="s">
        <v>37</v>
      </c>
      <c r="E1345" s="11" t="s">
        <v>52</v>
      </c>
      <c r="F1345" s="11" t="s">
        <v>42</v>
      </c>
      <c r="G1345" s="11" t="n">
        <v>1</v>
      </c>
      <c r="H1345" s="21" t="n">
        <v>12</v>
      </c>
      <c r="I1345" s="21" t="n">
        <v>6</v>
      </c>
      <c r="J1345" s="22" t="n">
        <v>0</v>
      </c>
      <c r="K1345" s="21" t="n">
        <f aca="false">G1345*H1345*(1-J1345)</f>
        <v>12</v>
      </c>
      <c r="L1345" s="21" t="n">
        <f aca="false">G1345*I1345</f>
        <v>6</v>
      </c>
      <c r="M1345" s="21" t="n">
        <f aca="false">K1345-L1345</f>
        <v>6</v>
      </c>
      <c r="N1345" s="11" t="str">
        <f aca="false">TEXT(B1345,"mmm")</f>
        <v>Dec</v>
      </c>
    </row>
    <row r="1346" customFormat="false" ht="15" hidden="false" customHeight="false" outlineLevel="0" collapsed="false">
      <c r="A1346" s="11" t="s">
        <v>1407</v>
      </c>
      <c r="B1346" s="20" t="n">
        <v>45994</v>
      </c>
      <c r="C1346" s="11" t="s">
        <v>22</v>
      </c>
      <c r="D1346" s="11" t="s">
        <v>33</v>
      </c>
      <c r="E1346" s="11" t="s">
        <v>48</v>
      </c>
      <c r="F1346" s="11" t="s">
        <v>42</v>
      </c>
      <c r="G1346" s="11" t="n">
        <v>2</v>
      </c>
      <c r="H1346" s="21" t="n">
        <v>520</v>
      </c>
      <c r="I1346" s="21" t="n">
        <v>415</v>
      </c>
      <c r="J1346" s="22" t="n">
        <v>0.05</v>
      </c>
      <c r="K1346" s="21" t="n">
        <f aca="false">G1346*H1346*(1-J1346)</f>
        <v>988</v>
      </c>
      <c r="L1346" s="21" t="n">
        <f aca="false">G1346*I1346</f>
        <v>830</v>
      </c>
      <c r="M1346" s="21" t="n">
        <f aca="false">K1346-L1346</f>
        <v>158</v>
      </c>
      <c r="N1346" s="11" t="str">
        <f aca="false">TEXT(B1346,"mmm")</f>
        <v>Dec</v>
      </c>
    </row>
    <row r="1347" customFormat="false" ht="15" hidden="false" customHeight="false" outlineLevel="0" collapsed="false">
      <c r="A1347" s="11" t="s">
        <v>1408</v>
      </c>
      <c r="B1347" s="20" t="n">
        <v>45994</v>
      </c>
      <c r="C1347" s="11" t="s">
        <v>22</v>
      </c>
      <c r="D1347" s="11" t="s">
        <v>35</v>
      </c>
      <c r="E1347" s="11" t="s">
        <v>54</v>
      </c>
      <c r="F1347" s="11" t="s">
        <v>42</v>
      </c>
      <c r="G1347" s="11" t="n">
        <v>2</v>
      </c>
      <c r="H1347" s="21" t="n">
        <v>320</v>
      </c>
      <c r="I1347" s="21" t="n">
        <v>185</v>
      </c>
      <c r="J1347" s="22" t="n">
        <v>0</v>
      </c>
      <c r="K1347" s="21" t="n">
        <f aca="false">G1347*H1347*(1-J1347)</f>
        <v>640</v>
      </c>
      <c r="L1347" s="21" t="n">
        <f aca="false">G1347*I1347</f>
        <v>370</v>
      </c>
      <c r="M1347" s="21" t="n">
        <f aca="false">K1347-L1347</f>
        <v>270</v>
      </c>
      <c r="N1347" s="11" t="str">
        <f aca="false">TEXT(B1347,"mmm")</f>
        <v>Dec</v>
      </c>
    </row>
    <row r="1348" customFormat="false" ht="15" hidden="false" customHeight="false" outlineLevel="0" collapsed="false">
      <c r="A1348" s="11" t="s">
        <v>1409</v>
      </c>
      <c r="B1348" s="20" t="n">
        <v>45994</v>
      </c>
      <c r="C1348" s="11" t="s">
        <v>22</v>
      </c>
      <c r="D1348" s="11" t="s">
        <v>37</v>
      </c>
      <c r="E1348" s="11" t="s">
        <v>52</v>
      </c>
      <c r="F1348" s="11" t="s">
        <v>42</v>
      </c>
      <c r="G1348" s="11" t="n">
        <v>2</v>
      </c>
      <c r="H1348" s="21" t="n">
        <v>12</v>
      </c>
      <c r="I1348" s="21" t="n">
        <v>6</v>
      </c>
      <c r="J1348" s="22" t="n">
        <v>0.15</v>
      </c>
      <c r="K1348" s="21" t="n">
        <f aca="false">G1348*H1348*(1-J1348)</f>
        <v>20.4</v>
      </c>
      <c r="L1348" s="21" t="n">
        <f aca="false">G1348*I1348</f>
        <v>12</v>
      </c>
      <c r="M1348" s="21" t="n">
        <f aca="false">K1348-L1348</f>
        <v>8.4</v>
      </c>
      <c r="N1348" s="11" t="str">
        <f aca="false">TEXT(B1348,"mmm")</f>
        <v>Dec</v>
      </c>
    </row>
    <row r="1349" customFormat="false" ht="15" hidden="false" customHeight="false" outlineLevel="0" collapsed="false">
      <c r="A1349" s="11" t="s">
        <v>1410</v>
      </c>
      <c r="B1349" s="20" t="n">
        <v>45994</v>
      </c>
      <c r="C1349" s="11" t="s">
        <v>22</v>
      </c>
      <c r="D1349" s="11" t="s">
        <v>37</v>
      </c>
      <c r="E1349" s="11" t="s">
        <v>52</v>
      </c>
      <c r="F1349" s="11" t="s">
        <v>44</v>
      </c>
      <c r="G1349" s="11" t="n">
        <v>22</v>
      </c>
      <c r="H1349" s="21" t="n">
        <v>12</v>
      </c>
      <c r="I1349" s="21" t="n">
        <v>6</v>
      </c>
      <c r="J1349" s="22" t="n">
        <v>0</v>
      </c>
      <c r="K1349" s="21" t="n">
        <f aca="false">G1349*H1349*(1-J1349)</f>
        <v>264</v>
      </c>
      <c r="L1349" s="21" t="n">
        <f aca="false">G1349*I1349</f>
        <v>132</v>
      </c>
      <c r="M1349" s="21" t="n">
        <f aca="false">K1349-L1349</f>
        <v>132</v>
      </c>
      <c r="N1349" s="11" t="str">
        <f aca="false">TEXT(B1349,"mmm")</f>
        <v>Dec</v>
      </c>
    </row>
    <row r="1350" customFormat="false" ht="15" hidden="false" customHeight="false" outlineLevel="0" collapsed="false">
      <c r="A1350" s="11" t="s">
        <v>1411</v>
      </c>
      <c r="B1350" s="20" t="n">
        <v>45994</v>
      </c>
      <c r="C1350" s="11" t="s">
        <v>22</v>
      </c>
      <c r="D1350" s="11" t="s">
        <v>35</v>
      </c>
      <c r="E1350" s="11" t="s">
        <v>56</v>
      </c>
      <c r="F1350" s="11" t="s">
        <v>44</v>
      </c>
      <c r="G1350" s="11" t="n">
        <v>2</v>
      </c>
      <c r="H1350" s="21" t="n">
        <v>110</v>
      </c>
      <c r="I1350" s="21" t="n">
        <v>62</v>
      </c>
      <c r="J1350" s="22" t="n">
        <v>0.1</v>
      </c>
      <c r="K1350" s="21" t="n">
        <f aca="false">G1350*H1350*(1-J1350)</f>
        <v>198</v>
      </c>
      <c r="L1350" s="21" t="n">
        <f aca="false">G1350*I1350</f>
        <v>124</v>
      </c>
      <c r="M1350" s="21" t="n">
        <f aca="false">K1350-L1350</f>
        <v>74</v>
      </c>
      <c r="N1350" s="11" t="str">
        <f aca="false">TEXT(B1350,"mmm")</f>
        <v>Dec</v>
      </c>
    </row>
    <row r="1351" customFormat="false" ht="15" hidden="false" customHeight="false" outlineLevel="0" collapsed="false">
      <c r="A1351" s="11" t="s">
        <v>1412</v>
      </c>
      <c r="B1351" s="20" t="n">
        <v>45994</v>
      </c>
      <c r="C1351" s="11" t="s">
        <v>18</v>
      </c>
      <c r="D1351" s="11" t="s">
        <v>37</v>
      </c>
      <c r="E1351" s="11" t="s">
        <v>53</v>
      </c>
      <c r="F1351" s="11" t="s">
        <v>44</v>
      </c>
      <c r="G1351" s="11" t="n">
        <v>18</v>
      </c>
      <c r="H1351" s="21" t="n">
        <v>9</v>
      </c>
      <c r="I1351" s="21" t="n">
        <v>4.5</v>
      </c>
      <c r="J1351" s="22" t="n">
        <v>0</v>
      </c>
      <c r="K1351" s="21" t="n">
        <f aca="false">G1351*H1351*(1-J1351)</f>
        <v>162</v>
      </c>
      <c r="L1351" s="21" t="n">
        <f aca="false">G1351*I1351</f>
        <v>81</v>
      </c>
      <c r="M1351" s="21" t="n">
        <f aca="false">K1351-L1351</f>
        <v>81</v>
      </c>
      <c r="N1351" s="11" t="str">
        <f aca="false">TEXT(B1351,"mmm")</f>
        <v>Dec</v>
      </c>
    </row>
    <row r="1352" customFormat="false" ht="15" hidden="false" customHeight="false" outlineLevel="0" collapsed="false">
      <c r="A1352" s="11" t="s">
        <v>1413</v>
      </c>
      <c r="B1352" s="20" t="n">
        <v>45994</v>
      </c>
      <c r="C1352" s="11" t="s">
        <v>18</v>
      </c>
      <c r="D1352" s="11" t="s">
        <v>33</v>
      </c>
      <c r="E1352" s="11" t="s">
        <v>51</v>
      </c>
      <c r="F1352" s="11" t="s">
        <v>45</v>
      </c>
      <c r="G1352" s="11" t="n">
        <v>3</v>
      </c>
      <c r="H1352" s="21" t="n">
        <v>90</v>
      </c>
      <c r="I1352" s="21" t="n">
        <v>58</v>
      </c>
      <c r="J1352" s="22" t="n">
        <v>0.1</v>
      </c>
      <c r="K1352" s="21" t="n">
        <f aca="false">G1352*H1352*(1-J1352)</f>
        <v>243</v>
      </c>
      <c r="L1352" s="21" t="n">
        <f aca="false">G1352*I1352</f>
        <v>174</v>
      </c>
      <c r="M1352" s="21" t="n">
        <f aca="false">K1352-L1352</f>
        <v>69</v>
      </c>
      <c r="N1352" s="11" t="str">
        <f aca="false">TEXT(B1352,"mmm")</f>
        <v>Dec</v>
      </c>
    </row>
    <row r="1353" customFormat="false" ht="15" hidden="false" customHeight="false" outlineLevel="0" collapsed="false">
      <c r="A1353" s="11" t="s">
        <v>1414</v>
      </c>
      <c r="B1353" s="20" t="n">
        <v>45994</v>
      </c>
      <c r="C1353" s="11" t="s">
        <v>18</v>
      </c>
      <c r="D1353" s="11" t="s">
        <v>37</v>
      </c>
      <c r="E1353" s="11" t="s">
        <v>52</v>
      </c>
      <c r="F1353" s="11" t="s">
        <v>42</v>
      </c>
      <c r="G1353" s="11" t="n">
        <v>9</v>
      </c>
      <c r="H1353" s="21" t="n">
        <v>12</v>
      </c>
      <c r="I1353" s="21" t="n">
        <v>6</v>
      </c>
      <c r="J1353" s="22" t="n">
        <v>0.05</v>
      </c>
      <c r="K1353" s="21" t="n">
        <f aca="false">G1353*H1353*(1-J1353)</f>
        <v>102.6</v>
      </c>
      <c r="L1353" s="21" t="n">
        <f aca="false">G1353*I1353</f>
        <v>54</v>
      </c>
      <c r="M1353" s="21" t="n">
        <f aca="false">K1353-L1353</f>
        <v>48.6</v>
      </c>
      <c r="N1353" s="11" t="str">
        <f aca="false">TEXT(B1353,"mmm")</f>
        <v>Dec</v>
      </c>
    </row>
    <row r="1354" customFormat="false" ht="15" hidden="false" customHeight="false" outlineLevel="0" collapsed="false">
      <c r="A1354" s="11" t="s">
        <v>1415</v>
      </c>
      <c r="B1354" s="20" t="n">
        <v>45994</v>
      </c>
      <c r="C1354" s="11" t="s">
        <v>18</v>
      </c>
      <c r="D1354" s="11" t="s">
        <v>37</v>
      </c>
      <c r="E1354" s="11" t="s">
        <v>52</v>
      </c>
      <c r="F1354" s="11" t="s">
        <v>44</v>
      </c>
      <c r="G1354" s="11" t="n">
        <v>25</v>
      </c>
      <c r="H1354" s="21" t="n">
        <v>12</v>
      </c>
      <c r="I1354" s="21" t="n">
        <v>6</v>
      </c>
      <c r="J1354" s="22" t="n">
        <v>0</v>
      </c>
      <c r="K1354" s="21" t="n">
        <f aca="false">G1354*H1354*(1-J1354)</f>
        <v>300</v>
      </c>
      <c r="L1354" s="21" t="n">
        <f aca="false">G1354*I1354</f>
        <v>150</v>
      </c>
      <c r="M1354" s="21" t="n">
        <f aca="false">K1354-L1354</f>
        <v>150</v>
      </c>
      <c r="N1354" s="11" t="str">
        <f aca="false">TEXT(B1354,"mmm")</f>
        <v>Dec</v>
      </c>
    </row>
    <row r="1355" customFormat="false" ht="15" hidden="false" customHeight="false" outlineLevel="0" collapsed="false">
      <c r="A1355" s="11" t="s">
        <v>1416</v>
      </c>
      <c r="B1355" s="20" t="n">
        <v>45995</v>
      </c>
      <c r="C1355" s="11" t="s">
        <v>20</v>
      </c>
      <c r="D1355" s="11" t="s">
        <v>33</v>
      </c>
      <c r="E1355" s="11" t="s">
        <v>51</v>
      </c>
      <c r="F1355" s="11" t="s">
        <v>44</v>
      </c>
      <c r="G1355" s="11" t="n">
        <v>6</v>
      </c>
      <c r="H1355" s="21" t="n">
        <v>90</v>
      </c>
      <c r="I1355" s="21" t="n">
        <v>58</v>
      </c>
      <c r="J1355" s="22" t="n">
        <v>0</v>
      </c>
      <c r="K1355" s="21" t="n">
        <f aca="false">G1355*H1355*(1-J1355)</f>
        <v>540</v>
      </c>
      <c r="L1355" s="21" t="n">
        <f aca="false">G1355*I1355</f>
        <v>348</v>
      </c>
      <c r="M1355" s="21" t="n">
        <f aca="false">K1355-L1355</f>
        <v>192</v>
      </c>
      <c r="N1355" s="11" t="str">
        <f aca="false">TEXT(B1355,"mmm")</f>
        <v>Dec</v>
      </c>
    </row>
    <row r="1356" customFormat="false" ht="15" hidden="false" customHeight="false" outlineLevel="0" collapsed="false">
      <c r="A1356" s="11" t="s">
        <v>1417</v>
      </c>
      <c r="B1356" s="20" t="n">
        <v>45995</v>
      </c>
      <c r="C1356" s="11" t="s">
        <v>18</v>
      </c>
      <c r="D1356" s="11" t="s">
        <v>35</v>
      </c>
      <c r="E1356" s="11" t="s">
        <v>54</v>
      </c>
      <c r="F1356" s="11" t="s">
        <v>42</v>
      </c>
      <c r="G1356" s="11" t="n">
        <v>3</v>
      </c>
      <c r="H1356" s="21" t="n">
        <v>320</v>
      </c>
      <c r="I1356" s="21" t="n">
        <v>185</v>
      </c>
      <c r="J1356" s="22" t="n">
        <v>0</v>
      </c>
      <c r="K1356" s="21" t="n">
        <f aca="false">G1356*H1356*(1-J1356)</f>
        <v>960</v>
      </c>
      <c r="L1356" s="21" t="n">
        <f aca="false">G1356*I1356</f>
        <v>555</v>
      </c>
      <c r="M1356" s="21" t="n">
        <f aca="false">K1356-L1356</f>
        <v>405</v>
      </c>
      <c r="N1356" s="11" t="str">
        <f aca="false">TEXT(B1356,"mmm")</f>
        <v>Dec</v>
      </c>
    </row>
    <row r="1357" customFormat="false" ht="15" hidden="false" customHeight="false" outlineLevel="0" collapsed="false">
      <c r="A1357" s="11" t="s">
        <v>1418</v>
      </c>
      <c r="B1357" s="20" t="n">
        <v>45995</v>
      </c>
      <c r="C1357" s="11" t="s">
        <v>18</v>
      </c>
      <c r="D1357" s="11" t="s">
        <v>35</v>
      </c>
      <c r="E1357" s="11" t="s">
        <v>54</v>
      </c>
      <c r="F1357" s="11" t="s">
        <v>42</v>
      </c>
      <c r="G1357" s="11" t="n">
        <v>2</v>
      </c>
      <c r="H1357" s="21" t="n">
        <v>320</v>
      </c>
      <c r="I1357" s="21" t="n">
        <v>185</v>
      </c>
      <c r="J1357" s="22" t="n">
        <v>0.1</v>
      </c>
      <c r="K1357" s="21" t="n">
        <f aca="false">G1357*H1357*(1-J1357)</f>
        <v>576</v>
      </c>
      <c r="L1357" s="21" t="n">
        <f aca="false">G1357*I1357</f>
        <v>370</v>
      </c>
      <c r="M1357" s="21" t="n">
        <f aca="false">K1357-L1357</f>
        <v>206</v>
      </c>
      <c r="N1357" s="11" t="str">
        <f aca="false">TEXT(B1357,"mmm")</f>
        <v>Dec</v>
      </c>
    </row>
    <row r="1358" customFormat="false" ht="15" hidden="false" customHeight="false" outlineLevel="0" collapsed="false">
      <c r="A1358" s="11" t="s">
        <v>1419</v>
      </c>
      <c r="B1358" s="20" t="n">
        <v>45995</v>
      </c>
      <c r="C1358" s="11" t="s">
        <v>20</v>
      </c>
      <c r="D1358" s="11" t="s">
        <v>35</v>
      </c>
      <c r="E1358" s="11" t="s">
        <v>55</v>
      </c>
      <c r="F1358" s="11" t="s">
        <v>42</v>
      </c>
      <c r="G1358" s="11" t="n">
        <v>4</v>
      </c>
      <c r="H1358" s="21" t="n">
        <v>150</v>
      </c>
      <c r="I1358" s="21" t="n">
        <v>82</v>
      </c>
      <c r="J1358" s="22" t="n">
        <v>0</v>
      </c>
      <c r="K1358" s="21" t="n">
        <f aca="false">G1358*H1358*(1-J1358)</f>
        <v>600</v>
      </c>
      <c r="L1358" s="21" t="n">
        <f aca="false">G1358*I1358</f>
        <v>328</v>
      </c>
      <c r="M1358" s="21" t="n">
        <f aca="false">K1358-L1358</f>
        <v>272</v>
      </c>
      <c r="N1358" s="11" t="str">
        <f aca="false">TEXT(B1358,"mmm")</f>
        <v>Dec</v>
      </c>
    </row>
    <row r="1359" customFormat="false" ht="15" hidden="false" customHeight="false" outlineLevel="0" collapsed="false">
      <c r="A1359" s="11" t="s">
        <v>1420</v>
      </c>
      <c r="B1359" s="20" t="n">
        <v>45995</v>
      </c>
      <c r="C1359" s="11" t="s">
        <v>24</v>
      </c>
      <c r="D1359" s="11" t="s">
        <v>33</v>
      </c>
      <c r="E1359" s="11" t="s">
        <v>48</v>
      </c>
      <c r="F1359" s="11" t="s">
        <v>42</v>
      </c>
      <c r="G1359" s="11" t="n">
        <v>4</v>
      </c>
      <c r="H1359" s="21" t="n">
        <v>520</v>
      </c>
      <c r="I1359" s="21" t="n">
        <v>415</v>
      </c>
      <c r="J1359" s="22" t="n">
        <v>0.05</v>
      </c>
      <c r="K1359" s="21" t="n">
        <f aca="false">G1359*H1359*(1-J1359)</f>
        <v>1976</v>
      </c>
      <c r="L1359" s="21" t="n">
        <f aca="false">G1359*I1359</f>
        <v>1660</v>
      </c>
      <c r="M1359" s="21" t="n">
        <f aca="false">K1359-L1359</f>
        <v>316</v>
      </c>
      <c r="N1359" s="11" t="str">
        <f aca="false">TEXT(B1359,"mmm")</f>
        <v>Dec</v>
      </c>
    </row>
    <row r="1360" customFormat="false" ht="15" hidden="false" customHeight="false" outlineLevel="0" collapsed="false">
      <c r="A1360" s="11" t="s">
        <v>1421</v>
      </c>
      <c r="B1360" s="20" t="n">
        <v>45995</v>
      </c>
      <c r="C1360" s="11" t="s">
        <v>18</v>
      </c>
      <c r="D1360" s="11" t="s">
        <v>37</v>
      </c>
      <c r="E1360" s="11" t="s">
        <v>49</v>
      </c>
      <c r="F1360" s="11" t="s">
        <v>42</v>
      </c>
      <c r="G1360" s="11" t="n">
        <v>16</v>
      </c>
      <c r="H1360" s="21" t="n">
        <v>28</v>
      </c>
      <c r="I1360" s="21" t="n">
        <v>17</v>
      </c>
      <c r="J1360" s="22" t="n">
        <v>0.05</v>
      </c>
      <c r="K1360" s="21" t="n">
        <f aca="false">G1360*H1360*(1-J1360)</f>
        <v>425.6</v>
      </c>
      <c r="L1360" s="21" t="n">
        <f aca="false">G1360*I1360</f>
        <v>272</v>
      </c>
      <c r="M1360" s="21" t="n">
        <f aca="false">K1360-L1360</f>
        <v>153.6</v>
      </c>
      <c r="N1360" s="11" t="str">
        <f aca="false">TEXT(B1360,"mmm")</f>
        <v>Dec</v>
      </c>
    </row>
    <row r="1361" customFormat="false" ht="15" hidden="false" customHeight="false" outlineLevel="0" collapsed="false">
      <c r="A1361" s="11" t="s">
        <v>1422</v>
      </c>
      <c r="B1361" s="20" t="n">
        <v>45995</v>
      </c>
      <c r="C1361" s="11" t="s">
        <v>18</v>
      </c>
      <c r="D1361" s="11" t="s">
        <v>33</v>
      </c>
      <c r="E1361" s="11" t="s">
        <v>50</v>
      </c>
      <c r="F1361" s="11" t="s">
        <v>42</v>
      </c>
      <c r="G1361" s="11" t="n">
        <v>1</v>
      </c>
      <c r="H1361" s="21" t="n">
        <v>780</v>
      </c>
      <c r="I1361" s="21" t="n">
        <v>600</v>
      </c>
      <c r="J1361" s="22" t="n">
        <v>0.15</v>
      </c>
      <c r="K1361" s="21" t="n">
        <f aca="false">G1361*H1361*(1-J1361)</f>
        <v>663</v>
      </c>
      <c r="L1361" s="21" t="n">
        <f aca="false">G1361*I1361</f>
        <v>600</v>
      </c>
      <c r="M1361" s="21" t="n">
        <f aca="false">K1361-L1361</f>
        <v>63</v>
      </c>
      <c r="N1361" s="11" t="str">
        <f aca="false">TEXT(B1361,"mmm")</f>
        <v>Dec</v>
      </c>
    </row>
    <row r="1362" customFormat="false" ht="15" hidden="false" customHeight="false" outlineLevel="0" collapsed="false">
      <c r="A1362" s="11" t="s">
        <v>1423</v>
      </c>
      <c r="B1362" s="20" t="n">
        <v>45996</v>
      </c>
      <c r="C1362" s="11" t="s">
        <v>18</v>
      </c>
      <c r="D1362" s="11" t="s">
        <v>33</v>
      </c>
      <c r="E1362" s="11" t="s">
        <v>48</v>
      </c>
      <c r="F1362" s="11" t="s">
        <v>45</v>
      </c>
      <c r="G1362" s="11" t="n">
        <v>1</v>
      </c>
      <c r="H1362" s="21" t="n">
        <v>520</v>
      </c>
      <c r="I1362" s="21" t="n">
        <v>415</v>
      </c>
      <c r="J1362" s="22" t="n">
        <v>0.15</v>
      </c>
      <c r="K1362" s="21" t="n">
        <f aca="false">G1362*H1362*(1-J1362)</f>
        <v>442</v>
      </c>
      <c r="L1362" s="21" t="n">
        <f aca="false">G1362*I1362</f>
        <v>415</v>
      </c>
      <c r="M1362" s="21" t="n">
        <f aca="false">K1362-L1362</f>
        <v>27</v>
      </c>
      <c r="N1362" s="11" t="str">
        <f aca="false">TEXT(B1362,"mmm")</f>
        <v>Dec</v>
      </c>
    </row>
    <row r="1363" customFormat="false" ht="15" hidden="false" customHeight="false" outlineLevel="0" collapsed="false">
      <c r="A1363" s="11" t="s">
        <v>1424</v>
      </c>
      <c r="B1363" s="20" t="n">
        <v>45996</v>
      </c>
      <c r="C1363" s="11" t="s">
        <v>20</v>
      </c>
      <c r="D1363" s="11" t="s">
        <v>35</v>
      </c>
      <c r="E1363" s="11" t="s">
        <v>54</v>
      </c>
      <c r="F1363" s="11" t="s">
        <v>45</v>
      </c>
      <c r="G1363" s="11" t="n">
        <v>3</v>
      </c>
      <c r="H1363" s="21" t="n">
        <v>320</v>
      </c>
      <c r="I1363" s="21" t="n">
        <v>185</v>
      </c>
      <c r="J1363" s="22" t="n">
        <v>0.15</v>
      </c>
      <c r="K1363" s="21" t="n">
        <f aca="false">G1363*H1363*(1-J1363)</f>
        <v>816</v>
      </c>
      <c r="L1363" s="21" t="n">
        <f aca="false">G1363*I1363</f>
        <v>555</v>
      </c>
      <c r="M1363" s="21" t="n">
        <f aca="false">K1363-L1363</f>
        <v>261</v>
      </c>
      <c r="N1363" s="11" t="str">
        <f aca="false">TEXT(B1363,"mmm")</f>
        <v>Dec</v>
      </c>
    </row>
    <row r="1364" customFormat="false" ht="15" hidden="false" customHeight="false" outlineLevel="0" collapsed="false">
      <c r="A1364" s="11" t="s">
        <v>1425</v>
      </c>
      <c r="B1364" s="20" t="n">
        <v>45996</v>
      </c>
      <c r="C1364" s="11" t="s">
        <v>22</v>
      </c>
      <c r="D1364" s="11" t="s">
        <v>37</v>
      </c>
      <c r="E1364" s="11" t="s">
        <v>53</v>
      </c>
      <c r="F1364" s="11" t="s">
        <v>42</v>
      </c>
      <c r="G1364" s="11" t="n">
        <v>34</v>
      </c>
      <c r="H1364" s="21" t="n">
        <v>9</v>
      </c>
      <c r="I1364" s="21" t="n">
        <v>4.5</v>
      </c>
      <c r="J1364" s="22" t="n">
        <v>0.05</v>
      </c>
      <c r="K1364" s="21" t="n">
        <f aca="false">G1364*H1364*(1-J1364)</f>
        <v>290.7</v>
      </c>
      <c r="L1364" s="21" t="n">
        <f aca="false">G1364*I1364</f>
        <v>153</v>
      </c>
      <c r="M1364" s="21" t="n">
        <f aca="false">K1364-L1364</f>
        <v>137.7</v>
      </c>
      <c r="N1364" s="11" t="str">
        <f aca="false">TEXT(B1364,"mmm")</f>
        <v>Dec</v>
      </c>
    </row>
    <row r="1365" customFormat="false" ht="15" hidden="false" customHeight="false" outlineLevel="0" collapsed="false">
      <c r="A1365" s="11" t="s">
        <v>1426</v>
      </c>
      <c r="B1365" s="20" t="n">
        <v>45996</v>
      </c>
      <c r="C1365" s="11" t="s">
        <v>20</v>
      </c>
      <c r="D1365" s="11" t="s">
        <v>37</v>
      </c>
      <c r="E1365" s="11" t="s">
        <v>52</v>
      </c>
      <c r="F1365" s="11" t="s">
        <v>42</v>
      </c>
      <c r="G1365" s="11" t="n">
        <v>27</v>
      </c>
      <c r="H1365" s="21" t="n">
        <v>12</v>
      </c>
      <c r="I1365" s="21" t="n">
        <v>6</v>
      </c>
      <c r="J1365" s="22" t="n">
        <v>0</v>
      </c>
      <c r="K1365" s="21" t="n">
        <f aca="false">G1365*H1365*(1-J1365)</f>
        <v>324</v>
      </c>
      <c r="L1365" s="21" t="n">
        <f aca="false">G1365*I1365</f>
        <v>162</v>
      </c>
      <c r="M1365" s="21" t="n">
        <f aca="false">K1365-L1365</f>
        <v>162</v>
      </c>
      <c r="N1365" s="11" t="str">
        <f aca="false">TEXT(B1365,"mmm")</f>
        <v>Dec</v>
      </c>
    </row>
    <row r="1366" customFormat="false" ht="15" hidden="false" customHeight="false" outlineLevel="0" collapsed="false">
      <c r="A1366" s="11" t="s">
        <v>1427</v>
      </c>
      <c r="B1366" s="20" t="n">
        <v>45997</v>
      </c>
      <c r="C1366" s="11" t="s">
        <v>22</v>
      </c>
      <c r="D1366" s="11" t="s">
        <v>35</v>
      </c>
      <c r="E1366" s="11" t="s">
        <v>56</v>
      </c>
      <c r="F1366" s="11" t="s">
        <v>42</v>
      </c>
      <c r="G1366" s="11" t="n">
        <v>3</v>
      </c>
      <c r="H1366" s="21" t="n">
        <v>110</v>
      </c>
      <c r="I1366" s="21" t="n">
        <v>62</v>
      </c>
      <c r="J1366" s="22" t="n">
        <v>0.15</v>
      </c>
      <c r="K1366" s="21" t="n">
        <f aca="false">G1366*H1366*(1-J1366)</f>
        <v>280.5</v>
      </c>
      <c r="L1366" s="21" t="n">
        <f aca="false">G1366*I1366</f>
        <v>186</v>
      </c>
      <c r="M1366" s="21" t="n">
        <f aca="false">K1366-L1366</f>
        <v>94.5</v>
      </c>
      <c r="N1366" s="11" t="str">
        <f aca="false">TEXT(B1366,"mmm")</f>
        <v>Dec</v>
      </c>
    </row>
    <row r="1367" customFormat="false" ht="15" hidden="false" customHeight="false" outlineLevel="0" collapsed="false">
      <c r="A1367" s="11" t="s">
        <v>1428</v>
      </c>
      <c r="B1367" s="20" t="n">
        <v>45997</v>
      </c>
      <c r="C1367" s="11" t="s">
        <v>18</v>
      </c>
      <c r="D1367" s="11" t="s">
        <v>37</v>
      </c>
      <c r="E1367" s="11" t="s">
        <v>52</v>
      </c>
      <c r="F1367" s="11" t="s">
        <v>44</v>
      </c>
      <c r="G1367" s="11" t="n">
        <v>36</v>
      </c>
      <c r="H1367" s="21" t="n">
        <v>12</v>
      </c>
      <c r="I1367" s="21" t="n">
        <v>6</v>
      </c>
      <c r="J1367" s="22" t="n">
        <v>0.05</v>
      </c>
      <c r="K1367" s="21" t="n">
        <f aca="false">G1367*H1367*(1-J1367)</f>
        <v>410.4</v>
      </c>
      <c r="L1367" s="21" t="n">
        <f aca="false">G1367*I1367</f>
        <v>216</v>
      </c>
      <c r="M1367" s="21" t="n">
        <f aca="false">K1367-L1367</f>
        <v>194.4</v>
      </c>
      <c r="N1367" s="11" t="str">
        <f aca="false">TEXT(B1367,"mmm")</f>
        <v>Dec</v>
      </c>
    </row>
    <row r="1368" customFormat="false" ht="15" hidden="false" customHeight="false" outlineLevel="0" collapsed="false">
      <c r="A1368" s="11" t="s">
        <v>1429</v>
      </c>
      <c r="B1368" s="20" t="n">
        <v>45997</v>
      </c>
      <c r="C1368" s="11" t="s">
        <v>18</v>
      </c>
      <c r="D1368" s="11" t="s">
        <v>33</v>
      </c>
      <c r="E1368" s="11" t="s">
        <v>51</v>
      </c>
      <c r="F1368" s="11" t="s">
        <v>42</v>
      </c>
      <c r="G1368" s="11" t="n">
        <v>2</v>
      </c>
      <c r="H1368" s="21" t="n">
        <v>90</v>
      </c>
      <c r="I1368" s="21" t="n">
        <v>58</v>
      </c>
      <c r="J1368" s="22" t="n">
        <v>0.1</v>
      </c>
      <c r="K1368" s="21" t="n">
        <f aca="false">G1368*H1368*(1-J1368)</f>
        <v>162</v>
      </c>
      <c r="L1368" s="21" t="n">
        <f aca="false">G1368*I1368</f>
        <v>116</v>
      </c>
      <c r="M1368" s="21" t="n">
        <f aca="false">K1368-L1368</f>
        <v>46</v>
      </c>
      <c r="N1368" s="11" t="str">
        <f aca="false">TEXT(B1368,"mmm")</f>
        <v>Dec</v>
      </c>
    </row>
    <row r="1369" customFormat="false" ht="15" hidden="false" customHeight="false" outlineLevel="0" collapsed="false">
      <c r="A1369" s="11" t="s">
        <v>1430</v>
      </c>
      <c r="B1369" s="20" t="n">
        <v>45997</v>
      </c>
      <c r="C1369" s="11" t="s">
        <v>18</v>
      </c>
      <c r="D1369" s="11" t="s">
        <v>35</v>
      </c>
      <c r="E1369" s="11" t="s">
        <v>55</v>
      </c>
      <c r="F1369" s="11" t="s">
        <v>45</v>
      </c>
      <c r="G1369" s="11" t="n">
        <v>4</v>
      </c>
      <c r="H1369" s="21" t="n">
        <v>150</v>
      </c>
      <c r="I1369" s="21" t="n">
        <v>82</v>
      </c>
      <c r="J1369" s="22" t="n">
        <v>0.1</v>
      </c>
      <c r="K1369" s="21" t="n">
        <f aca="false">G1369*H1369*(1-J1369)</f>
        <v>540</v>
      </c>
      <c r="L1369" s="21" t="n">
        <f aca="false">G1369*I1369</f>
        <v>328</v>
      </c>
      <c r="M1369" s="21" t="n">
        <f aca="false">K1369-L1369</f>
        <v>212</v>
      </c>
      <c r="N1369" s="11" t="str">
        <f aca="false">TEXT(B1369,"mmm")</f>
        <v>Dec</v>
      </c>
    </row>
    <row r="1370" customFormat="false" ht="15" hidden="false" customHeight="false" outlineLevel="0" collapsed="false">
      <c r="A1370" s="11" t="s">
        <v>1431</v>
      </c>
      <c r="B1370" s="20" t="n">
        <v>45997</v>
      </c>
      <c r="C1370" s="11" t="s">
        <v>22</v>
      </c>
      <c r="D1370" s="11" t="s">
        <v>37</v>
      </c>
      <c r="E1370" s="11" t="s">
        <v>53</v>
      </c>
      <c r="F1370" s="11" t="s">
        <v>45</v>
      </c>
      <c r="G1370" s="11" t="n">
        <v>54</v>
      </c>
      <c r="H1370" s="21" t="n">
        <v>9</v>
      </c>
      <c r="I1370" s="21" t="n">
        <v>4.5</v>
      </c>
      <c r="J1370" s="22" t="n">
        <v>0.1</v>
      </c>
      <c r="K1370" s="21" t="n">
        <f aca="false">G1370*H1370*(1-J1370)</f>
        <v>437.4</v>
      </c>
      <c r="L1370" s="21" t="n">
        <f aca="false">G1370*I1370</f>
        <v>243</v>
      </c>
      <c r="M1370" s="21" t="n">
        <f aca="false">K1370-L1370</f>
        <v>194.4</v>
      </c>
      <c r="N1370" s="11" t="str">
        <f aca="false">TEXT(B1370,"mmm")</f>
        <v>Dec</v>
      </c>
    </row>
    <row r="1371" customFormat="false" ht="15" hidden="false" customHeight="false" outlineLevel="0" collapsed="false">
      <c r="A1371" s="11" t="s">
        <v>1432</v>
      </c>
      <c r="B1371" s="20" t="n">
        <v>45998</v>
      </c>
      <c r="C1371" s="11" t="s">
        <v>24</v>
      </c>
      <c r="D1371" s="11" t="s">
        <v>33</v>
      </c>
      <c r="E1371" s="11" t="s">
        <v>51</v>
      </c>
      <c r="F1371" s="11" t="s">
        <v>44</v>
      </c>
      <c r="G1371" s="11" t="n">
        <v>4</v>
      </c>
      <c r="H1371" s="21" t="n">
        <v>90</v>
      </c>
      <c r="I1371" s="21" t="n">
        <v>58</v>
      </c>
      <c r="J1371" s="22" t="n">
        <v>0.05</v>
      </c>
      <c r="K1371" s="21" t="n">
        <f aca="false">G1371*H1371*(1-J1371)</f>
        <v>342</v>
      </c>
      <c r="L1371" s="21" t="n">
        <f aca="false">G1371*I1371</f>
        <v>232</v>
      </c>
      <c r="M1371" s="21" t="n">
        <f aca="false">K1371-L1371</f>
        <v>110</v>
      </c>
      <c r="N1371" s="11" t="str">
        <f aca="false">TEXT(B1371,"mmm")</f>
        <v>Dec</v>
      </c>
    </row>
    <row r="1372" customFormat="false" ht="15" hidden="false" customHeight="false" outlineLevel="0" collapsed="false">
      <c r="A1372" s="11" t="s">
        <v>1433</v>
      </c>
      <c r="B1372" s="20" t="n">
        <v>45998</v>
      </c>
      <c r="C1372" s="11" t="s">
        <v>20</v>
      </c>
      <c r="D1372" s="11" t="s">
        <v>35</v>
      </c>
      <c r="E1372" s="11" t="s">
        <v>56</v>
      </c>
      <c r="F1372" s="11" t="s">
        <v>44</v>
      </c>
      <c r="G1372" s="11" t="n">
        <v>2</v>
      </c>
      <c r="H1372" s="21" t="n">
        <v>110</v>
      </c>
      <c r="I1372" s="21" t="n">
        <v>62</v>
      </c>
      <c r="J1372" s="22" t="n">
        <v>0</v>
      </c>
      <c r="K1372" s="21" t="n">
        <f aca="false">G1372*H1372*(1-J1372)</f>
        <v>220</v>
      </c>
      <c r="L1372" s="21" t="n">
        <f aca="false">G1372*I1372</f>
        <v>124</v>
      </c>
      <c r="M1372" s="21" t="n">
        <f aca="false">K1372-L1372</f>
        <v>96</v>
      </c>
      <c r="N1372" s="11" t="str">
        <f aca="false">TEXT(B1372,"mmm")</f>
        <v>Dec</v>
      </c>
    </row>
    <row r="1373" customFormat="false" ht="15" hidden="false" customHeight="false" outlineLevel="0" collapsed="false">
      <c r="A1373" s="11" t="s">
        <v>1434</v>
      </c>
      <c r="B1373" s="20" t="n">
        <v>45998</v>
      </c>
      <c r="C1373" s="11" t="s">
        <v>22</v>
      </c>
      <c r="D1373" s="11" t="s">
        <v>37</v>
      </c>
      <c r="E1373" s="11" t="s">
        <v>52</v>
      </c>
      <c r="F1373" s="11" t="s">
        <v>45</v>
      </c>
      <c r="G1373" s="11" t="n">
        <v>90</v>
      </c>
      <c r="H1373" s="21" t="n">
        <v>12</v>
      </c>
      <c r="I1373" s="21" t="n">
        <v>6</v>
      </c>
      <c r="J1373" s="22" t="n">
        <v>0.2</v>
      </c>
      <c r="K1373" s="21" t="n">
        <f aca="false">G1373*H1373*(1-J1373)</f>
        <v>864</v>
      </c>
      <c r="L1373" s="21" t="n">
        <f aca="false">G1373*I1373</f>
        <v>540</v>
      </c>
      <c r="M1373" s="21" t="n">
        <f aca="false">K1373-L1373</f>
        <v>324</v>
      </c>
      <c r="N1373" s="11" t="str">
        <f aca="false">TEXT(B1373,"mmm")</f>
        <v>Dec</v>
      </c>
    </row>
    <row r="1374" customFormat="false" ht="15" hidden="false" customHeight="false" outlineLevel="0" collapsed="false">
      <c r="A1374" s="11" t="s">
        <v>1435</v>
      </c>
      <c r="B1374" s="20" t="n">
        <v>45998</v>
      </c>
      <c r="C1374" s="11" t="s">
        <v>18</v>
      </c>
      <c r="D1374" s="11" t="s">
        <v>33</v>
      </c>
      <c r="E1374" s="11" t="s">
        <v>51</v>
      </c>
      <c r="F1374" s="11" t="s">
        <v>42</v>
      </c>
      <c r="G1374" s="11" t="n">
        <v>3</v>
      </c>
      <c r="H1374" s="21" t="n">
        <v>90</v>
      </c>
      <c r="I1374" s="21" t="n">
        <v>58</v>
      </c>
      <c r="J1374" s="22" t="n">
        <v>0.05</v>
      </c>
      <c r="K1374" s="21" t="n">
        <f aca="false">G1374*H1374*(1-J1374)</f>
        <v>256.5</v>
      </c>
      <c r="L1374" s="21" t="n">
        <f aca="false">G1374*I1374</f>
        <v>174</v>
      </c>
      <c r="M1374" s="21" t="n">
        <f aca="false">K1374-L1374</f>
        <v>82.5</v>
      </c>
      <c r="N1374" s="11" t="str">
        <f aca="false">TEXT(B1374,"mmm")</f>
        <v>Dec</v>
      </c>
    </row>
    <row r="1375" customFormat="false" ht="15" hidden="false" customHeight="false" outlineLevel="0" collapsed="false">
      <c r="A1375" s="11" t="s">
        <v>1436</v>
      </c>
      <c r="B1375" s="20" t="n">
        <v>45999</v>
      </c>
      <c r="C1375" s="11" t="s">
        <v>20</v>
      </c>
      <c r="D1375" s="11" t="s">
        <v>37</v>
      </c>
      <c r="E1375" s="11" t="s">
        <v>52</v>
      </c>
      <c r="F1375" s="11" t="s">
        <v>42</v>
      </c>
      <c r="G1375" s="11" t="n">
        <v>3</v>
      </c>
      <c r="H1375" s="21" t="n">
        <v>12</v>
      </c>
      <c r="I1375" s="21" t="n">
        <v>6</v>
      </c>
      <c r="J1375" s="22" t="n">
        <v>0.05</v>
      </c>
      <c r="K1375" s="21" t="n">
        <f aca="false">G1375*H1375*(1-J1375)</f>
        <v>34.2</v>
      </c>
      <c r="L1375" s="21" t="n">
        <f aca="false">G1375*I1375</f>
        <v>18</v>
      </c>
      <c r="M1375" s="21" t="n">
        <f aca="false">K1375-L1375</f>
        <v>16.2</v>
      </c>
      <c r="N1375" s="11" t="str">
        <f aca="false">TEXT(B1375,"mmm")</f>
        <v>Dec</v>
      </c>
    </row>
    <row r="1376" customFormat="false" ht="15" hidden="false" customHeight="false" outlineLevel="0" collapsed="false">
      <c r="A1376" s="11" t="s">
        <v>1437</v>
      </c>
      <c r="B1376" s="20" t="n">
        <v>45999</v>
      </c>
      <c r="C1376" s="11" t="s">
        <v>18</v>
      </c>
      <c r="D1376" s="11" t="s">
        <v>37</v>
      </c>
      <c r="E1376" s="11" t="s">
        <v>49</v>
      </c>
      <c r="F1376" s="11" t="s">
        <v>45</v>
      </c>
      <c r="G1376" s="11" t="n">
        <v>18</v>
      </c>
      <c r="H1376" s="21" t="n">
        <v>28</v>
      </c>
      <c r="I1376" s="21" t="n">
        <v>17</v>
      </c>
      <c r="J1376" s="22" t="n">
        <v>0.2</v>
      </c>
      <c r="K1376" s="21" t="n">
        <f aca="false">G1376*H1376*(1-J1376)</f>
        <v>403.2</v>
      </c>
      <c r="L1376" s="21" t="n">
        <f aca="false">G1376*I1376</f>
        <v>306</v>
      </c>
      <c r="M1376" s="21" t="n">
        <f aca="false">K1376-L1376</f>
        <v>97.2000000000001</v>
      </c>
      <c r="N1376" s="11" t="str">
        <f aca="false">TEXT(B1376,"mmm")</f>
        <v>Dec</v>
      </c>
    </row>
    <row r="1377" customFormat="false" ht="15" hidden="false" customHeight="false" outlineLevel="0" collapsed="false">
      <c r="A1377" s="11" t="s">
        <v>1438</v>
      </c>
      <c r="B1377" s="20" t="n">
        <v>45999</v>
      </c>
      <c r="C1377" s="11" t="s">
        <v>22</v>
      </c>
      <c r="D1377" s="11" t="s">
        <v>35</v>
      </c>
      <c r="E1377" s="11" t="s">
        <v>55</v>
      </c>
      <c r="F1377" s="11" t="s">
        <v>44</v>
      </c>
      <c r="G1377" s="11" t="n">
        <v>4</v>
      </c>
      <c r="H1377" s="21" t="n">
        <v>150</v>
      </c>
      <c r="I1377" s="21" t="n">
        <v>82</v>
      </c>
      <c r="J1377" s="22" t="n">
        <v>0.1</v>
      </c>
      <c r="K1377" s="21" t="n">
        <f aca="false">G1377*H1377*(1-J1377)</f>
        <v>540</v>
      </c>
      <c r="L1377" s="21" t="n">
        <f aca="false">G1377*I1377</f>
        <v>328</v>
      </c>
      <c r="M1377" s="21" t="n">
        <f aca="false">K1377-L1377</f>
        <v>212</v>
      </c>
      <c r="N1377" s="11" t="str">
        <f aca="false">TEXT(B1377,"mmm")</f>
        <v>Dec</v>
      </c>
    </row>
    <row r="1378" customFormat="false" ht="15" hidden="false" customHeight="false" outlineLevel="0" collapsed="false">
      <c r="A1378" s="11" t="s">
        <v>1439</v>
      </c>
      <c r="B1378" s="20" t="n">
        <v>46000</v>
      </c>
      <c r="C1378" s="11" t="s">
        <v>20</v>
      </c>
      <c r="D1378" s="11" t="s">
        <v>33</v>
      </c>
      <c r="E1378" s="11" t="s">
        <v>51</v>
      </c>
      <c r="F1378" s="11" t="s">
        <v>42</v>
      </c>
      <c r="G1378" s="11" t="n">
        <v>1</v>
      </c>
      <c r="H1378" s="21" t="n">
        <v>90</v>
      </c>
      <c r="I1378" s="21" t="n">
        <v>58</v>
      </c>
      <c r="J1378" s="22" t="n">
        <v>0.15</v>
      </c>
      <c r="K1378" s="21" t="n">
        <f aca="false">G1378*H1378*(1-J1378)</f>
        <v>76.5</v>
      </c>
      <c r="L1378" s="21" t="n">
        <f aca="false">G1378*I1378</f>
        <v>58</v>
      </c>
      <c r="M1378" s="21" t="n">
        <f aca="false">K1378-L1378</f>
        <v>18.5</v>
      </c>
      <c r="N1378" s="11" t="str">
        <f aca="false">TEXT(B1378,"mmm")</f>
        <v>Dec</v>
      </c>
    </row>
    <row r="1379" customFormat="false" ht="15" hidden="false" customHeight="false" outlineLevel="0" collapsed="false">
      <c r="A1379" s="11" t="s">
        <v>1440</v>
      </c>
      <c r="B1379" s="20" t="n">
        <v>46000</v>
      </c>
      <c r="C1379" s="11" t="s">
        <v>22</v>
      </c>
      <c r="D1379" s="11" t="s">
        <v>37</v>
      </c>
      <c r="E1379" s="11" t="s">
        <v>53</v>
      </c>
      <c r="F1379" s="11" t="s">
        <v>44</v>
      </c>
      <c r="G1379" s="11" t="n">
        <v>2</v>
      </c>
      <c r="H1379" s="21" t="n">
        <v>9</v>
      </c>
      <c r="I1379" s="21" t="n">
        <v>4.5</v>
      </c>
      <c r="J1379" s="22" t="n">
        <v>0.1</v>
      </c>
      <c r="K1379" s="21" t="n">
        <f aca="false">G1379*H1379*(1-J1379)</f>
        <v>16.2</v>
      </c>
      <c r="L1379" s="21" t="n">
        <f aca="false">G1379*I1379</f>
        <v>9</v>
      </c>
      <c r="M1379" s="21" t="n">
        <f aca="false">K1379-L1379</f>
        <v>7.2</v>
      </c>
      <c r="N1379" s="11" t="str">
        <f aca="false">TEXT(B1379,"mmm")</f>
        <v>Dec</v>
      </c>
    </row>
    <row r="1380" customFormat="false" ht="15" hidden="false" customHeight="false" outlineLevel="0" collapsed="false">
      <c r="A1380" s="11" t="s">
        <v>1441</v>
      </c>
      <c r="B1380" s="20" t="n">
        <v>46000</v>
      </c>
      <c r="C1380" s="11" t="s">
        <v>24</v>
      </c>
      <c r="D1380" s="11" t="s">
        <v>37</v>
      </c>
      <c r="E1380" s="11" t="s">
        <v>52</v>
      </c>
      <c r="F1380" s="11" t="s">
        <v>42</v>
      </c>
      <c r="G1380" s="11" t="n">
        <v>22</v>
      </c>
      <c r="H1380" s="21" t="n">
        <v>12</v>
      </c>
      <c r="I1380" s="21" t="n">
        <v>6</v>
      </c>
      <c r="J1380" s="22" t="n">
        <v>0.1</v>
      </c>
      <c r="K1380" s="21" t="n">
        <f aca="false">G1380*H1380*(1-J1380)</f>
        <v>237.6</v>
      </c>
      <c r="L1380" s="21" t="n">
        <f aca="false">G1380*I1380</f>
        <v>132</v>
      </c>
      <c r="M1380" s="21" t="n">
        <f aca="false">K1380-L1380</f>
        <v>105.6</v>
      </c>
      <c r="N1380" s="11" t="str">
        <f aca="false">TEXT(B1380,"mmm")</f>
        <v>Dec</v>
      </c>
    </row>
    <row r="1381" customFormat="false" ht="15" hidden="false" customHeight="false" outlineLevel="0" collapsed="false">
      <c r="A1381" s="11" t="s">
        <v>1442</v>
      </c>
      <c r="B1381" s="20" t="n">
        <v>46000</v>
      </c>
      <c r="C1381" s="11" t="s">
        <v>22</v>
      </c>
      <c r="D1381" s="11" t="s">
        <v>37</v>
      </c>
      <c r="E1381" s="11" t="s">
        <v>52</v>
      </c>
      <c r="F1381" s="11" t="s">
        <v>42</v>
      </c>
      <c r="G1381" s="11" t="n">
        <v>34</v>
      </c>
      <c r="H1381" s="21" t="n">
        <v>12</v>
      </c>
      <c r="I1381" s="21" t="n">
        <v>6</v>
      </c>
      <c r="J1381" s="22" t="n">
        <v>0.05</v>
      </c>
      <c r="K1381" s="21" t="n">
        <f aca="false">G1381*H1381*(1-J1381)</f>
        <v>387.6</v>
      </c>
      <c r="L1381" s="21" t="n">
        <f aca="false">G1381*I1381</f>
        <v>204</v>
      </c>
      <c r="M1381" s="21" t="n">
        <f aca="false">K1381-L1381</f>
        <v>183.6</v>
      </c>
      <c r="N1381" s="11" t="str">
        <f aca="false">TEXT(B1381,"mmm")</f>
        <v>Dec</v>
      </c>
    </row>
    <row r="1382" customFormat="false" ht="15" hidden="false" customHeight="false" outlineLevel="0" collapsed="false">
      <c r="A1382" s="11" t="s">
        <v>1443</v>
      </c>
      <c r="B1382" s="20" t="n">
        <v>46001</v>
      </c>
      <c r="C1382" s="11" t="s">
        <v>20</v>
      </c>
      <c r="D1382" s="11" t="s">
        <v>37</v>
      </c>
      <c r="E1382" s="11" t="s">
        <v>53</v>
      </c>
      <c r="F1382" s="11" t="s">
        <v>42</v>
      </c>
      <c r="G1382" s="11" t="n">
        <v>7</v>
      </c>
      <c r="H1382" s="21" t="n">
        <v>9</v>
      </c>
      <c r="I1382" s="21" t="n">
        <v>4.5</v>
      </c>
      <c r="J1382" s="22" t="n">
        <v>0.15</v>
      </c>
      <c r="K1382" s="21" t="n">
        <f aca="false">G1382*H1382*(1-J1382)</f>
        <v>53.55</v>
      </c>
      <c r="L1382" s="21" t="n">
        <f aca="false">G1382*I1382</f>
        <v>31.5</v>
      </c>
      <c r="M1382" s="21" t="n">
        <f aca="false">K1382-L1382</f>
        <v>22.05</v>
      </c>
      <c r="N1382" s="11" t="str">
        <f aca="false">TEXT(B1382,"mmm")</f>
        <v>Dec</v>
      </c>
    </row>
    <row r="1383" customFormat="false" ht="15" hidden="false" customHeight="false" outlineLevel="0" collapsed="false">
      <c r="A1383" s="11" t="s">
        <v>1444</v>
      </c>
      <c r="B1383" s="20" t="n">
        <v>46001</v>
      </c>
      <c r="C1383" s="11" t="s">
        <v>18</v>
      </c>
      <c r="D1383" s="11" t="s">
        <v>35</v>
      </c>
      <c r="E1383" s="11" t="s">
        <v>55</v>
      </c>
      <c r="F1383" s="11" t="s">
        <v>45</v>
      </c>
      <c r="G1383" s="11" t="n">
        <v>1</v>
      </c>
      <c r="H1383" s="21" t="n">
        <v>150</v>
      </c>
      <c r="I1383" s="21" t="n">
        <v>82</v>
      </c>
      <c r="J1383" s="22" t="n">
        <v>0.15</v>
      </c>
      <c r="K1383" s="21" t="n">
        <f aca="false">G1383*H1383*(1-J1383)</f>
        <v>127.5</v>
      </c>
      <c r="L1383" s="21" t="n">
        <f aca="false">G1383*I1383</f>
        <v>82</v>
      </c>
      <c r="M1383" s="21" t="n">
        <f aca="false">K1383-L1383</f>
        <v>45.5</v>
      </c>
      <c r="N1383" s="11" t="str">
        <f aca="false">TEXT(B1383,"mmm")</f>
        <v>Dec</v>
      </c>
    </row>
    <row r="1384" customFormat="false" ht="15" hidden="false" customHeight="false" outlineLevel="0" collapsed="false">
      <c r="A1384" s="11" t="s">
        <v>1445</v>
      </c>
      <c r="B1384" s="20" t="n">
        <v>46001</v>
      </c>
      <c r="C1384" s="11" t="s">
        <v>20</v>
      </c>
      <c r="D1384" s="11" t="s">
        <v>35</v>
      </c>
      <c r="E1384" s="11" t="s">
        <v>55</v>
      </c>
      <c r="F1384" s="11" t="s">
        <v>44</v>
      </c>
      <c r="G1384" s="11" t="n">
        <v>2</v>
      </c>
      <c r="H1384" s="21" t="n">
        <v>150</v>
      </c>
      <c r="I1384" s="21" t="n">
        <v>82</v>
      </c>
      <c r="J1384" s="22" t="n">
        <v>0.05</v>
      </c>
      <c r="K1384" s="21" t="n">
        <f aca="false">G1384*H1384*(1-J1384)</f>
        <v>285</v>
      </c>
      <c r="L1384" s="21" t="n">
        <f aca="false">G1384*I1384</f>
        <v>164</v>
      </c>
      <c r="M1384" s="21" t="n">
        <f aca="false">K1384-L1384</f>
        <v>121</v>
      </c>
      <c r="N1384" s="11" t="str">
        <f aca="false">TEXT(B1384,"mmm")</f>
        <v>Dec</v>
      </c>
    </row>
    <row r="1385" customFormat="false" ht="15" hidden="false" customHeight="false" outlineLevel="0" collapsed="false">
      <c r="A1385" s="11" t="s">
        <v>1446</v>
      </c>
      <c r="B1385" s="20" t="n">
        <v>46001</v>
      </c>
      <c r="C1385" s="11" t="s">
        <v>22</v>
      </c>
      <c r="D1385" s="11" t="s">
        <v>37</v>
      </c>
      <c r="E1385" s="11" t="s">
        <v>53</v>
      </c>
      <c r="F1385" s="11" t="s">
        <v>44</v>
      </c>
      <c r="G1385" s="11" t="n">
        <v>16</v>
      </c>
      <c r="H1385" s="21" t="n">
        <v>9</v>
      </c>
      <c r="I1385" s="21" t="n">
        <v>4.5</v>
      </c>
      <c r="J1385" s="22" t="n">
        <v>0</v>
      </c>
      <c r="K1385" s="21" t="n">
        <f aca="false">G1385*H1385*(1-J1385)</f>
        <v>144</v>
      </c>
      <c r="L1385" s="21" t="n">
        <f aca="false">G1385*I1385</f>
        <v>72</v>
      </c>
      <c r="M1385" s="21" t="n">
        <f aca="false">K1385-L1385</f>
        <v>72</v>
      </c>
      <c r="N1385" s="11" t="str">
        <f aca="false">TEXT(B1385,"mmm")</f>
        <v>Dec</v>
      </c>
    </row>
    <row r="1386" customFormat="false" ht="15" hidden="false" customHeight="false" outlineLevel="0" collapsed="false">
      <c r="A1386" s="11" t="s">
        <v>1447</v>
      </c>
      <c r="B1386" s="20" t="n">
        <v>46001</v>
      </c>
      <c r="C1386" s="11" t="s">
        <v>18</v>
      </c>
      <c r="D1386" s="11" t="s">
        <v>33</v>
      </c>
      <c r="E1386" s="11" t="s">
        <v>51</v>
      </c>
      <c r="F1386" s="11" t="s">
        <v>45</v>
      </c>
      <c r="G1386" s="11" t="n">
        <v>18</v>
      </c>
      <c r="H1386" s="21" t="n">
        <v>90</v>
      </c>
      <c r="I1386" s="21" t="n">
        <v>58</v>
      </c>
      <c r="J1386" s="22" t="n">
        <v>0.15</v>
      </c>
      <c r="K1386" s="21" t="n">
        <f aca="false">G1386*H1386*(1-J1386)</f>
        <v>1377</v>
      </c>
      <c r="L1386" s="21" t="n">
        <f aca="false">G1386*I1386</f>
        <v>1044</v>
      </c>
      <c r="M1386" s="21" t="n">
        <f aca="false">K1386-L1386</f>
        <v>333</v>
      </c>
      <c r="N1386" s="11" t="str">
        <f aca="false">TEXT(B1386,"mmm")</f>
        <v>Dec</v>
      </c>
    </row>
    <row r="1387" customFormat="false" ht="15" hidden="false" customHeight="false" outlineLevel="0" collapsed="false">
      <c r="A1387" s="11" t="s">
        <v>1448</v>
      </c>
      <c r="B1387" s="20" t="n">
        <v>46001</v>
      </c>
      <c r="C1387" s="11" t="s">
        <v>18</v>
      </c>
      <c r="D1387" s="11" t="s">
        <v>33</v>
      </c>
      <c r="E1387" s="11" t="s">
        <v>51</v>
      </c>
      <c r="F1387" s="11" t="s">
        <v>45</v>
      </c>
      <c r="G1387" s="11" t="n">
        <v>9</v>
      </c>
      <c r="H1387" s="21" t="n">
        <v>90</v>
      </c>
      <c r="I1387" s="21" t="n">
        <v>58</v>
      </c>
      <c r="J1387" s="22" t="n">
        <v>0.1</v>
      </c>
      <c r="K1387" s="21" t="n">
        <f aca="false">G1387*H1387*(1-J1387)</f>
        <v>729</v>
      </c>
      <c r="L1387" s="21" t="n">
        <f aca="false">G1387*I1387</f>
        <v>522</v>
      </c>
      <c r="M1387" s="21" t="n">
        <f aca="false">K1387-L1387</f>
        <v>207</v>
      </c>
      <c r="N1387" s="11" t="str">
        <f aca="false">TEXT(B1387,"mmm")</f>
        <v>Dec</v>
      </c>
    </row>
    <row r="1388" customFormat="false" ht="15" hidden="false" customHeight="false" outlineLevel="0" collapsed="false">
      <c r="A1388" s="11" t="s">
        <v>1449</v>
      </c>
      <c r="B1388" s="20" t="n">
        <v>46001</v>
      </c>
      <c r="C1388" s="11" t="s">
        <v>18</v>
      </c>
      <c r="D1388" s="11" t="s">
        <v>33</v>
      </c>
      <c r="E1388" s="11" t="s">
        <v>50</v>
      </c>
      <c r="F1388" s="11" t="s">
        <v>45</v>
      </c>
      <c r="G1388" s="11" t="n">
        <v>3</v>
      </c>
      <c r="H1388" s="21" t="n">
        <v>780</v>
      </c>
      <c r="I1388" s="21" t="n">
        <v>600</v>
      </c>
      <c r="J1388" s="22" t="n">
        <v>0.2</v>
      </c>
      <c r="K1388" s="21" t="n">
        <f aca="false">G1388*H1388*(1-J1388)</f>
        <v>1872</v>
      </c>
      <c r="L1388" s="21" t="n">
        <f aca="false">G1388*I1388</f>
        <v>1800</v>
      </c>
      <c r="M1388" s="21" t="n">
        <f aca="false">K1388-L1388</f>
        <v>72</v>
      </c>
      <c r="N1388" s="11" t="str">
        <f aca="false">TEXT(B1388,"mmm")</f>
        <v>Dec</v>
      </c>
    </row>
    <row r="1389" customFormat="false" ht="15" hidden="false" customHeight="false" outlineLevel="0" collapsed="false">
      <c r="A1389" s="11" t="s">
        <v>1450</v>
      </c>
      <c r="B1389" s="20" t="n">
        <v>46002</v>
      </c>
      <c r="C1389" s="11" t="s">
        <v>18</v>
      </c>
      <c r="D1389" s="11" t="s">
        <v>35</v>
      </c>
      <c r="E1389" s="11" t="s">
        <v>55</v>
      </c>
      <c r="F1389" s="11" t="s">
        <v>42</v>
      </c>
      <c r="G1389" s="11" t="n">
        <v>3</v>
      </c>
      <c r="H1389" s="21" t="n">
        <v>150</v>
      </c>
      <c r="I1389" s="21" t="n">
        <v>82</v>
      </c>
      <c r="J1389" s="22" t="n">
        <v>0.1</v>
      </c>
      <c r="K1389" s="21" t="n">
        <f aca="false">G1389*H1389*(1-J1389)</f>
        <v>405</v>
      </c>
      <c r="L1389" s="21" t="n">
        <f aca="false">G1389*I1389</f>
        <v>246</v>
      </c>
      <c r="M1389" s="21" t="n">
        <f aca="false">K1389-L1389</f>
        <v>159</v>
      </c>
      <c r="N1389" s="11" t="str">
        <f aca="false">TEXT(B1389,"mmm")</f>
        <v>Dec</v>
      </c>
    </row>
    <row r="1390" customFormat="false" ht="15" hidden="false" customHeight="false" outlineLevel="0" collapsed="false">
      <c r="A1390" s="11" t="s">
        <v>1451</v>
      </c>
      <c r="B1390" s="20" t="n">
        <v>46002</v>
      </c>
      <c r="C1390" s="11" t="s">
        <v>18</v>
      </c>
      <c r="D1390" s="11" t="s">
        <v>35</v>
      </c>
      <c r="E1390" s="11" t="s">
        <v>54</v>
      </c>
      <c r="F1390" s="11" t="s">
        <v>42</v>
      </c>
      <c r="G1390" s="11" t="n">
        <v>2</v>
      </c>
      <c r="H1390" s="21" t="n">
        <v>320</v>
      </c>
      <c r="I1390" s="21" t="n">
        <v>185</v>
      </c>
      <c r="J1390" s="22" t="n">
        <v>0.1</v>
      </c>
      <c r="K1390" s="21" t="n">
        <f aca="false">G1390*H1390*(1-J1390)</f>
        <v>576</v>
      </c>
      <c r="L1390" s="21" t="n">
        <f aca="false">G1390*I1390</f>
        <v>370</v>
      </c>
      <c r="M1390" s="21" t="n">
        <f aca="false">K1390-L1390</f>
        <v>206</v>
      </c>
      <c r="N1390" s="11" t="str">
        <f aca="false">TEXT(B1390,"mmm")</f>
        <v>Dec</v>
      </c>
    </row>
    <row r="1391" customFormat="false" ht="15" hidden="false" customHeight="false" outlineLevel="0" collapsed="false">
      <c r="A1391" s="11" t="s">
        <v>1452</v>
      </c>
      <c r="B1391" s="20" t="n">
        <v>46002</v>
      </c>
      <c r="C1391" s="11" t="s">
        <v>18</v>
      </c>
      <c r="D1391" s="11" t="s">
        <v>37</v>
      </c>
      <c r="E1391" s="11" t="s">
        <v>53</v>
      </c>
      <c r="F1391" s="11" t="s">
        <v>45</v>
      </c>
      <c r="G1391" s="11" t="n">
        <v>96</v>
      </c>
      <c r="H1391" s="21" t="n">
        <v>9</v>
      </c>
      <c r="I1391" s="21" t="n">
        <v>4.5</v>
      </c>
      <c r="J1391" s="22" t="n">
        <v>0.15</v>
      </c>
      <c r="K1391" s="21" t="n">
        <f aca="false">G1391*H1391*(1-J1391)</f>
        <v>734.4</v>
      </c>
      <c r="L1391" s="21" t="n">
        <f aca="false">G1391*I1391</f>
        <v>432</v>
      </c>
      <c r="M1391" s="21" t="n">
        <f aca="false">K1391-L1391</f>
        <v>302.4</v>
      </c>
      <c r="N1391" s="11" t="str">
        <f aca="false">TEXT(B1391,"mmm")</f>
        <v>Dec</v>
      </c>
    </row>
    <row r="1392" customFormat="false" ht="15" hidden="false" customHeight="false" outlineLevel="0" collapsed="false">
      <c r="A1392" s="11" t="s">
        <v>1453</v>
      </c>
      <c r="B1392" s="20" t="n">
        <v>46002</v>
      </c>
      <c r="C1392" s="11" t="s">
        <v>22</v>
      </c>
      <c r="D1392" s="11" t="s">
        <v>35</v>
      </c>
      <c r="E1392" s="11" t="s">
        <v>56</v>
      </c>
      <c r="F1392" s="11" t="s">
        <v>42</v>
      </c>
      <c r="G1392" s="11" t="n">
        <v>3</v>
      </c>
      <c r="H1392" s="21" t="n">
        <v>110</v>
      </c>
      <c r="I1392" s="21" t="n">
        <v>62</v>
      </c>
      <c r="J1392" s="22" t="n">
        <v>0.15</v>
      </c>
      <c r="K1392" s="21" t="n">
        <f aca="false">G1392*H1392*(1-J1392)</f>
        <v>280.5</v>
      </c>
      <c r="L1392" s="21" t="n">
        <f aca="false">G1392*I1392</f>
        <v>186</v>
      </c>
      <c r="M1392" s="21" t="n">
        <f aca="false">K1392-L1392</f>
        <v>94.5</v>
      </c>
      <c r="N1392" s="11" t="str">
        <f aca="false">TEXT(B1392,"mmm")</f>
        <v>Dec</v>
      </c>
    </row>
    <row r="1393" customFormat="false" ht="15" hidden="false" customHeight="false" outlineLevel="0" collapsed="false">
      <c r="A1393" s="11" t="s">
        <v>1454</v>
      </c>
      <c r="B1393" s="20" t="n">
        <v>46003</v>
      </c>
      <c r="C1393" s="11" t="s">
        <v>18</v>
      </c>
      <c r="D1393" s="11" t="s">
        <v>35</v>
      </c>
      <c r="E1393" s="11" t="s">
        <v>54</v>
      </c>
      <c r="F1393" s="11" t="s">
        <v>42</v>
      </c>
      <c r="G1393" s="11" t="n">
        <v>2</v>
      </c>
      <c r="H1393" s="21" t="n">
        <v>320</v>
      </c>
      <c r="I1393" s="21" t="n">
        <v>185</v>
      </c>
      <c r="J1393" s="22" t="n">
        <v>0</v>
      </c>
      <c r="K1393" s="21" t="n">
        <f aca="false">G1393*H1393*(1-J1393)</f>
        <v>640</v>
      </c>
      <c r="L1393" s="21" t="n">
        <f aca="false">G1393*I1393</f>
        <v>370</v>
      </c>
      <c r="M1393" s="21" t="n">
        <f aca="false">K1393-L1393</f>
        <v>270</v>
      </c>
      <c r="N1393" s="11" t="str">
        <f aca="false">TEXT(B1393,"mmm")</f>
        <v>Dec</v>
      </c>
    </row>
    <row r="1394" customFormat="false" ht="15" hidden="false" customHeight="false" outlineLevel="0" collapsed="false">
      <c r="A1394" s="11" t="s">
        <v>1455</v>
      </c>
      <c r="B1394" s="20" t="n">
        <v>46003</v>
      </c>
      <c r="C1394" s="11" t="s">
        <v>22</v>
      </c>
      <c r="D1394" s="11" t="s">
        <v>33</v>
      </c>
      <c r="E1394" s="11" t="s">
        <v>51</v>
      </c>
      <c r="F1394" s="11" t="s">
        <v>44</v>
      </c>
      <c r="G1394" s="11" t="n">
        <v>5</v>
      </c>
      <c r="H1394" s="21" t="n">
        <v>90</v>
      </c>
      <c r="I1394" s="21" t="n">
        <v>58</v>
      </c>
      <c r="J1394" s="22" t="n">
        <v>0.1</v>
      </c>
      <c r="K1394" s="21" t="n">
        <f aca="false">G1394*H1394*(1-J1394)</f>
        <v>405</v>
      </c>
      <c r="L1394" s="21" t="n">
        <f aca="false">G1394*I1394</f>
        <v>290</v>
      </c>
      <c r="M1394" s="21" t="n">
        <f aca="false">K1394-L1394</f>
        <v>115</v>
      </c>
      <c r="N1394" s="11" t="str">
        <f aca="false">TEXT(B1394,"mmm")</f>
        <v>Dec</v>
      </c>
    </row>
    <row r="1395" customFormat="false" ht="15" hidden="false" customHeight="false" outlineLevel="0" collapsed="false">
      <c r="A1395" s="11" t="s">
        <v>1456</v>
      </c>
      <c r="B1395" s="20" t="n">
        <v>46003</v>
      </c>
      <c r="C1395" s="11" t="s">
        <v>18</v>
      </c>
      <c r="D1395" s="11" t="s">
        <v>35</v>
      </c>
      <c r="E1395" s="11" t="s">
        <v>54</v>
      </c>
      <c r="F1395" s="11" t="s">
        <v>42</v>
      </c>
      <c r="G1395" s="11" t="n">
        <v>3</v>
      </c>
      <c r="H1395" s="21" t="n">
        <v>320</v>
      </c>
      <c r="I1395" s="21" t="n">
        <v>185</v>
      </c>
      <c r="J1395" s="22" t="n">
        <v>0</v>
      </c>
      <c r="K1395" s="21" t="n">
        <f aca="false">G1395*H1395*(1-J1395)</f>
        <v>960</v>
      </c>
      <c r="L1395" s="21" t="n">
        <f aca="false">G1395*I1395</f>
        <v>555</v>
      </c>
      <c r="M1395" s="21" t="n">
        <f aca="false">K1395-L1395</f>
        <v>405</v>
      </c>
      <c r="N1395" s="11" t="str">
        <f aca="false">TEXT(B1395,"mmm")</f>
        <v>Dec</v>
      </c>
    </row>
    <row r="1396" customFormat="false" ht="15" hidden="false" customHeight="false" outlineLevel="0" collapsed="false">
      <c r="A1396" s="11" t="s">
        <v>1457</v>
      </c>
      <c r="B1396" s="20" t="n">
        <v>46003</v>
      </c>
      <c r="C1396" s="11" t="s">
        <v>24</v>
      </c>
      <c r="D1396" s="11" t="s">
        <v>35</v>
      </c>
      <c r="E1396" s="11" t="s">
        <v>54</v>
      </c>
      <c r="F1396" s="11" t="s">
        <v>45</v>
      </c>
      <c r="G1396" s="11" t="n">
        <v>3</v>
      </c>
      <c r="H1396" s="21" t="n">
        <v>320</v>
      </c>
      <c r="I1396" s="21" t="n">
        <v>185</v>
      </c>
      <c r="J1396" s="22" t="n">
        <v>0.2</v>
      </c>
      <c r="K1396" s="21" t="n">
        <f aca="false">G1396*H1396*(1-J1396)</f>
        <v>768</v>
      </c>
      <c r="L1396" s="21" t="n">
        <f aca="false">G1396*I1396</f>
        <v>555</v>
      </c>
      <c r="M1396" s="21" t="n">
        <f aca="false">K1396-L1396</f>
        <v>213</v>
      </c>
      <c r="N1396" s="11" t="str">
        <f aca="false">TEXT(B1396,"mmm")</f>
        <v>Dec</v>
      </c>
    </row>
    <row r="1397" customFormat="false" ht="15" hidden="false" customHeight="false" outlineLevel="0" collapsed="false">
      <c r="A1397" s="11" t="s">
        <v>1458</v>
      </c>
      <c r="B1397" s="20" t="n">
        <v>46004</v>
      </c>
      <c r="C1397" s="11" t="s">
        <v>20</v>
      </c>
      <c r="D1397" s="11" t="s">
        <v>37</v>
      </c>
      <c r="E1397" s="11" t="s">
        <v>52</v>
      </c>
      <c r="F1397" s="11" t="s">
        <v>42</v>
      </c>
      <c r="G1397" s="11" t="n">
        <v>24</v>
      </c>
      <c r="H1397" s="21" t="n">
        <v>12</v>
      </c>
      <c r="I1397" s="21" t="n">
        <v>6</v>
      </c>
      <c r="J1397" s="22" t="n">
        <v>0.15</v>
      </c>
      <c r="K1397" s="21" t="n">
        <f aca="false">G1397*H1397*(1-J1397)</f>
        <v>244.8</v>
      </c>
      <c r="L1397" s="21" t="n">
        <f aca="false">G1397*I1397</f>
        <v>144</v>
      </c>
      <c r="M1397" s="21" t="n">
        <f aca="false">K1397-L1397</f>
        <v>100.8</v>
      </c>
      <c r="N1397" s="11" t="str">
        <f aca="false">TEXT(B1397,"mmm")</f>
        <v>Dec</v>
      </c>
    </row>
    <row r="1398" customFormat="false" ht="15" hidden="false" customHeight="false" outlineLevel="0" collapsed="false">
      <c r="A1398" s="11" t="s">
        <v>1459</v>
      </c>
      <c r="B1398" s="20" t="n">
        <v>46004</v>
      </c>
      <c r="C1398" s="11" t="s">
        <v>18</v>
      </c>
      <c r="D1398" s="11" t="s">
        <v>33</v>
      </c>
      <c r="E1398" s="11" t="s">
        <v>50</v>
      </c>
      <c r="F1398" s="11" t="s">
        <v>44</v>
      </c>
      <c r="G1398" s="11" t="n">
        <v>3</v>
      </c>
      <c r="H1398" s="21" t="n">
        <v>780</v>
      </c>
      <c r="I1398" s="21" t="n">
        <v>600</v>
      </c>
      <c r="J1398" s="22" t="n">
        <v>0.1</v>
      </c>
      <c r="K1398" s="21" t="n">
        <f aca="false">G1398*H1398*(1-J1398)</f>
        <v>2106</v>
      </c>
      <c r="L1398" s="21" t="n">
        <f aca="false">G1398*I1398</f>
        <v>1800</v>
      </c>
      <c r="M1398" s="21" t="n">
        <f aca="false">K1398-L1398</f>
        <v>306</v>
      </c>
      <c r="N1398" s="11" t="str">
        <f aca="false">TEXT(B1398,"mmm")</f>
        <v>Dec</v>
      </c>
    </row>
    <row r="1399" customFormat="false" ht="15" hidden="false" customHeight="false" outlineLevel="0" collapsed="false">
      <c r="A1399" s="11" t="s">
        <v>1460</v>
      </c>
      <c r="B1399" s="20" t="n">
        <v>46004</v>
      </c>
      <c r="C1399" s="11" t="s">
        <v>18</v>
      </c>
      <c r="D1399" s="11" t="s">
        <v>37</v>
      </c>
      <c r="E1399" s="11" t="s">
        <v>49</v>
      </c>
      <c r="F1399" s="11" t="s">
        <v>42</v>
      </c>
      <c r="G1399" s="11" t="n">
        <v>31</v>
      </c>
      <c r="H1399" s="21" t="n">
        <v>28</v>
      </c>
      <c r="I1399" s="21" t="n">
        <v>17</v>
      </c>
      <c r="J1399" s="22" t="n">
        <v>0.1</v>
      </c>
      <c r="K1399" s="21" t="n">
        <f aca="false">G1399*H1399*(1-J1399)</f>
        <v>781.2</v>
      </c>
      <c r="L1399" s="21" t="n">
        <f aca="false">G1399*I1399</f>
        <v>527</v>
      </c>
      <c r="M1399" s="21" t="n">
        <f aca="false">K1399-L1399</f>
        <v>254.2</v>
      </c>
      <c r="N1399" s="11" t="str">
        <f aca="false">TEXT(B1399,"mmm")</f>
        <v>Dec</v>
      </c>
    </row>
    <row r="1400" customFormat="false" ht="15" hidden="false" customHeight="false" outlineLevel="0" collapsed="false">
      <c r="A1400" s="11" t="s">
        <v>1461</v>
      </c>
      <c r="B1400" s="20" t="n">
        <v>46004</v>
      </c>
      <c r="C1400" s="11" t="s">
        <v>24</v>
      </c>
      <c r="D1400" s="11" t="s">
        <v>33</v>
      </c>
      <c r="E1400" s="11" t="s">
        <v>51</v>
      </c>
      <c r="F1400" s="11" t="s">
        <v>42</v>
      </c>
      <c r="G1400" s="11" t="n">
        <v>3</v>
      </c>
      <c r="H1400" s="21" t="n">
        <v>90</v>
      </c>
      <c r="I1400" s="21" t="n">
        <v>58</v>
      </c>
      <c r="J1400" s="22" t="n">
        <v>0.05</v>
      </c>
      <c r="K1400" s="21" t="n">
        <f aca="false">G1400*H1400*(1-J1400)</f>
        <v>256.5</v>
      </c>
      <c r="L1400" s="21" t="n">
        <f aca="false">G1400*I1400</f>
        <v>174</v>
      </c>
      <c r="M1400" s="21" t="n">
        <f aca="false">K1400-L1400</f>
        <v>82.5</v>
      </c>
      <c r="N1400" s="11" t="str">
        <f aca="false">TEXT(B1400,"mmm")</f>
        <v>Dec</v>
      </c>
    </row>
    <row r="1401" customFormat="false" ht="15" hidden="false" customHeight="false" outlineLevel="0" collapsed="false">
      <c r="A1401" s="11" t="s">
        <v>1462</v>
      </c>
      <c r="B1401" s="20" t="n">
        <v>46004</v>
      </c>
      <c r="C1401" s="11" t="s">
        <v>20</v>
      </c>
      <c r="D1401" s="11" t="s">
        <v>35</v>
      </c>
      <c r="E1401" s="11" t="s">
        <v>54</v>
      </c>
      <c r="F1401" s="11" t="s">
        <v>44</v>
      </c>
      <c r="G1401" s="11" t="n">
        <v>3</v>
      </c>
      <c r="H1401" s="21" t="n">
        <v>320</v>
      </c>
      <c r="I1401" s="21" t="n">
        <v>185</v>
      </c>
      <c r="J1401" s="22" t="n">
        <v>0.05</v>
      </c>
      <c r="K1401" s="21" t="n">
        <f aca="false">G1401*H1401*(1-J1401)</f>
        <v>912</v>
      </c>
      <c r="L1401" s="21" t="n">
        <f aca="false">G1401*I1401</f>
        <v>555</v>
      </c>
      <c r="M1401" s="21" t="n">
        <f aca="false">K1401-L1401</f>
        <v>357</v>
      </c>
      <c r="N1401" s="11" t="str">
        <f aca="false">TEXT(B1401,"mmm")</f>
        <v>Dec</v>
      </c>
    </row>
    <row r="1402" customFormat="false" ht="15" hidden="false" customHeight="false" outlineLevel="0" collapsed="false">
      <c r="A1402" s="11" t="s">
        <v>1463</v>
      </c>
      <c r="B1402" s="20" t="n">
        <v>46004</v>
      </c>
      <c r="C1402" s="11" t="s">
        <v>24</v>
      </c>
      <c r="D1402" s="11" t="s">
        <v>35</v>
      </c>
      <c r="E1402" s="11" t="s">
        <v>56</v>
      </c>
      <c r="F1402" s="11" t="s">
        <v>42</v>
      </c>
      <c r="G1402" s="11" t="n">
        <v>1</v>
      </c>
      <c r="H1402" s="21" t="n">
        <v>110</v>
      </c>
      <c r="I1402" s="21" t="n">
        <v>62</v>
      </c>
      <c r="J1402" s="22" t="n">
        <v>0.05</v>
      </c>
      <c r="K1402" s="21" t="n">
        <f aca="false">G1402*H1402*(1-J1402)</f>
        <v>104.5</v>
      </c>
      <c r="L1402" s="21" t="n">
        <f aca="false">G1402*I1402</f>
        <v>62</v>
      </c>
      <c r="M1402" s="21" t="n">
        <f aca="false">K1402-L1402</f>
        <v>42.5</v>
      </c>
      <c r="N1402" s="11" t="str">
        <f aca="false">TEXT(B1402,"mmm")</f>
        <v>Dec</v>
      </c>
    </row>
    <row r="1403" customFormat="false" ht="15" hidden="false" customHeight="false" outlineLevel="0" collapsed="false">
      <c r="A1403" s="11" t="s">
        <v>1464</v>
      </c>
      <c r="B1403" s="20" t="n">
        <v>46004</v>
      </c>
      <c r="C1403" s="11" t="s">
        <v>18</v>
      </c>
      <c r="D1403" s="11" t="s">
        <v>37</v>
      </c>
      <c r="E1403" s="11" t="s">
        <v>52</v>
      </c>
      <c r="F1403" s="11" t="s">
        <v>45</v>
      </c>
      <c r="G1403" s="11" t="n">
        <v>105</v>
      </c>
      <c r="H1403" s="21" t="n">
        <v>12</v>
      </c>
      <c r="I1403" s="21" t="n">
        <v>6</v>
      </c>
      <c r="J1403" s="22" t="n">
        <v>0.15</v>
      </c>
      <c r="K1403" s="21" t="n">
        <f aca="false">G1403*H1403*(1-J1403)</f>
        <v>1071</v>
      </c>
      <c r="L1403" s="21" t="n">
        <f aca="false">G1403*I1403</f>
        <v>630</v>
      </c>
      <c r="M1403" s="21" t="n">
        <f aca="false">K1403-L1403</f>
        <v>441</v>
      </c>
      <c r="N1403" s="11" t="str">
        <f aca="false">TEXT(B1403,"mmm")</f>
        <v>Dec</v>
      </c>
    </row>
    <row r="1404" customFormat="false" ht="15" hidden="false" customHeight="false" outlineLevel="0" collapsed="false">
      <c r="A1404" s="11" t="s">
        <v>1465</v>
      </c>
      <c r="B1404" s="20" t="n">
        <v>46004</v>
      </c>
      <c r="C1404" s="11" t="s">
        <v>20</v>
      </c>
      <c r="D1404" s="11" t="s">
        <v>33</v>
      </c>
      <c r="E1404" s="11" t="s">
        <v>50</v>
      </c>
      <c r="F1404" s="11" t="s">
        <v>42</v>
      </c>
      <c r="G1404" s="11" t="n">
        <v>3</v>
      </c>
      <c r="H1404" s="21" t="n">
        <v>780</v>
      </c>
      <c r="I1404" s="21" t="n">
        <v>600</v>
      </c>
      <c r="J1404" s="22" t="n">
        <v>0.1</v>
      </c>
      <c r="K1404" s="21" t="n">
        <f aca="false">G1404*H1404*(1-J1404)</f>
        <v>2106</v>
      </c>
      <c r="L1404" s="21" t="n">
        <f aca="false">G1404*I1404</f>
        <v>1800</v>
      </c>
      <c r="M1404" s="21" t="n">
        <f aca="false">K1404-L1404</f>
        <v>306</v>
      </c>
      <c r="N1404" s="11" t="str">
        <f aca="false">TEXT(B1404,"mmm")</f>
        <v>Dec</v>
      </c>
    </row>
    <row r="1405" customFormat="false" ht="15" hidden="false" customHeight="false" outlineLevel="0" collapsed="false">
      <c r="A1405" s="11" t="s">
        <v>1466</v>
      </c>
      <c r="B1405" s="20" t="n">
        <v>46005</v>
      </c>
      <c r="C1405" s="11" t="s">
        <v>20</v>
      </c>
      <c r="D1405" s="11" t="s">
        <v>35</v>
      </c>
      <c r="E1405" s="11" t="s">
        <v>54</v>
      </c>
      <c r="F1405" s="11" t="s">
        <v>44</v>
      </c>
      <c r="G1405" s="11" t="n">
        <v>1</v>
      </c>
      <c r="H1405" s="21" t="n">
        <v>320</v>
      </c>
      <c r="I1405" s="21" t="n">
        <v>185</v>
      </c>
      <c r="J1405" s="22" t="n">
        <v>0</v>
      </c>
      <c r="K1405" s="21" t="n">
        <f aca="false">G1405*H1405*(1-J1405)</f>
        <v>320</v>
      </c>
      <c r="L1405" s="21" t="n">
        <f aca="false">G1405*I1405</f>
        <v>185</v>
      </c>
      <c r="M1405" s="21" t="n">
        <f aca="false">K1405-L1405</f>
        <v>135</v>
      </c>
      <c r="N1405" s="11" t="str">
        <f aca="false">TEXT(B1405,"mmm")</f>
        <v>Dec</v>
      </c>
    </row>
    <row r="1406" customFormat="false" ht="15" hidden="false" customHeight="false" outlineLevel="0" collapsed="false">
      <c r="A1406" s="11" t="s">
        <v>1467</v>
      </c>
      <c r="B1406" s="20" t="n">
        <v>46005</v>
      </c>
      <c r="C1406" s="11" t="s">
        <v>18</v>
      </c>
      <c r="D1406" s="11" t="s">
        <v>35</v>
      </c>
      <c r="E1406" s="11" t="s">
        <v>55</v>
      </c>
      <c r="F1406" s="11" t="s">
        <v>44</v>
      </c>
      <c r="G1406" s="11" t="n">
        <v>3</v>
      </c>
      <c r="H1406" s="21" t="n">
        <v>150</v>
      </c>
      <c r="I1406" s="21" t="n">
        <v>82</v>
      </c>
      <c r="J1406" s="22" t="n">
        <v>0.05</v>
      </c>
      <c r="K1406" s="21" t="n">
        <f aca="false">G1406*H1406*(1-J1406)</f>
        <v>427.5</v>
      </c>
      <c r="L1406" s="21" t="n">
        <f aca="false">G1406*I1406</f>
        <v>246</v>
      </c>
      <c r="M1406" s="21" t="n">
        <f aca="false">K1406-L1406</f>
        <v>181.5</v>
      </c>
      <c r="N1406" s="11" t="str">
        <f aca="false">TEXT(B1406,"mmm")</f>
        <v>Dec</v>
      </c>
    </row>
    <row r="1407" customFormat="false" ht="15" hidden="false" customHeight="false" outlineLevel="0" collapsed="false">
      <c r="A1407" s="11" t="s">
        <v>1468</v>
      </c>
      <c r="B1407" s="20" t="n">
        <v>46005</v>
      </c>
      <c r="C1407" s="11" t="s">
        <v>24</v>
      </c>
      <c r="D1407" s="11" t="s">
        <v>33</v>
      </c>
      <c r="E1407" s="11" t="s">
        <v>48</v>
      </c>
      <c r="F1407" s="11" t="s">
        <v>45</v>
      </c>
      <c r="G1407" s="11" t="n">
        <v>2</v>
      </c>
      <c r="H1407" s="21" t="n">
        <v>520</v>
      </c>
      <c r="I1407" s="21" t="n">
        <v>415</v>
      </c>
      <c r="J1407" s="22" t="n">
        <v>0.15</v>
      </c>
      <c r="K1407" s="21" t="n">
        <f aca="false">G1407*H1407*(1-J1407)</f>
        <v>884</v>
      </c>
      <c r="L1407" s="21" t="n">
        <f aca="false">G1407*I1407</f>
        <v>830</v>
      </c>
      <c r="M1407" s="21" t="n">
        <f aca="false">K1407-L1407</f>
        <v>54</v>
      </c>
      <c r="N1407" s="11" t="str">
        <f aca="false">TEXT(B1407,"mmm")</f>
        <v>Dec</v>
      </c>
    </row>
    <row r="1408" customFormat="false" ht="15" hidden="false" customHeight="false" outlineLevel="0" collapsed="false">
      <c r="A1408" s="11" t="s">
        <v>1469</v>
      </c>
      <c r="B1408" s="20" t="n">
        <v>46005</v>
      </c>
      <c r="C1408" s="11" t="s">
        <v>24</v>
      </c>
      <c r="D1408" s="11" t="s">
        <v>37</v>
      </c>
      <c r="E1408" s="11" t="s">
        <v>52</v>
      </c>
      <c r="F1408" s="11" t="s">
        <v>42</v>
      </c>
      <c r="G1408" s="11" t="n">
        <v>18</v>
      </c>
      <c r="H1408" s="21" t="n">
        <v>12</v>
      </c>
      <c r="I1408" s="21" t="n">
        <v>6</v>
      </c>
      <c r="J1408" s="22" t="n">
        <v>0</v>
      </c>
      <c r="K1408" s="21" t="n">
        <f aca="false">G1408*H1408*(1-J1408)</f>
        <v>216</v>
      </c>
      <c r="L1408" s="21" t="n">
        <f aca="false">G1408*I1408</f>
        <v>108</v>
      </c>
      <c r="M1408" s="21" t="n">
        <f aca="false">K1408-L1408</f>
        <v>108</v>
      </c>
      <c r="N1408" s="11" t="str">
        <f aca="false">TEXT(B1408,"mmm")</f>
        <v>Dec</v>
      </c>
    </row>
    <row r="1409" customFormat="false" ht="15" hidden="false" customHeight="false" outlineLevel="0" collapsed="false">
      <c r="A1409" s="11" t="s">
        <v>1470</v>
      </c>
      <c r="B1409" s="20" t="n">
        <v>46005</v>
      </c>
      <c r="C1409" s="11" t="s">
        <v>18</v>
      </c>
      <c r="D1409" s="11" t="s">
        <v>33</v>
      </c>
      <c r="E1409" s="11" t="s">
        <v>48</v>
      </c>
      <c r="F1409" s="11" t="s">
        <v>42</v>
      </c>
      <c r="G1409" s="11" t="n">
        <v>3</v>
      </c>
      <c r="H1409" s="21" t="n">
        <v>520</v>
      </c>
      <c r="I1409" s="21" t="n">
        <v>415</v>
      </c>
      <c r="J1409" s="22" t="n">
        <v>0</v>
      </c>
      <c r="K1409" s="21" t="n">
        <f aca="false">G1409*H1409*(1-J1409)</f>
        <v>1560</v>
      </c>
      <c r="L1409" s="21" t="n">
        <f aca="false">G1409*I1409</f>
        <v>1245</v>
      </c>
      <c r="M1409" s="21" t="n">
        <f aca="false">K1409-L1409</f>
        <v>315</v>
      </c>
      <c r="N1409" s="11" t="str">
        <f aca="false">TEXT(B1409,"mmm")</f>
        <v>Dec</v>
      </c>
    </row>
    <row r="1410" customFormat="false" ht="15" hidden="false" customHeight="false" outlineLevel="0" collapsed="false">
      <c r="A1410" s="11" t="s">
        <v>1471</v>
      </c>
      <c r="B1410" s="20" t="n">
        <v>46005</v>
      </c>
      <c r="C1410" s="11" t="s">
        <v>22</v>
      </c>
      <c r="D1410" s="11" t="s">
        <v>33</v>
      </c>
      <c r="E1410" s="11" t="s">
        <v>48</v>
      </c>
      <c r="F1410" s="11" t="s">
        <v>42</v>
      </c>
      <c r="G1410" s="11" t="n">
        <v>2</v>
      </c>
      <c r="H1410" s="21" t="n">
        <v>520</v>
      </c>
      <c r="I1410" s="21" t="n">
        <v>415</v>
      </c>
      <c r="J1410" s="22" t="n">
        <v>0</v>
      </c>
      <c r="K1410" s="21" t="n">
        <f aca="false">G1410*H1410*(1-J1410)</f>
        <v>1040</v>
      </c>
      <c r="L1410" s="21" t="n">
        <f aca="false">G1410*I1410</f>
        <v>830</v>
      </c>
      <c r="M1410" s="21" t="n">
        <f aca="false">K1410-L1410</f>
        <v>210</v>
      </c>
      <c r="N1410" s="11" t="str">
        <f aca="false">TEXT(B1410,"mmm")</f>
        <v>Dec</v>
      </c>
    </row>
    <row r="1411" customFormat="false" ht="15" hidden="false" customHeight="false" outlineLevel="0" collapsed="false">
      <c r="A1411" s="11" t="s">
        <v>1472</v>
      </c>
      <c r="B1411" s="20" t="n">
        <v>46005</v>
      </c>
      <c r="C1411" s="11" t="s">
        <v>24</v>
      </c>
      <c r="D1411" s="11" t="s">
        <v>33</v>
      </c>
      <c r="E1411" s="11" t="s">
        <v>48</v>
      </c>
      <c r="F1411" s="11" t="s">
        <v>42</v>
      </c>
      <c r="G1411" s="11" t="n">
        <v>2</v>
      </c>
      <c r="H1411" s="21" t="n">
        <v>520</v>
      </c>
      <c r="I1411" s="21" t="n">
        <v>415</v>
      </c>
      <c r="J1411" s="22" t="n">
        <v>0.1</v>
      </c>
      <c r="K1411" s="21" t="n">
        <f aca="false">G1411*H1411*(1-J1411)</f>
        <v>936</v>
      </c>
      <c r="L1411" s="21" t="n">
        <f aca="false">G1411*I1411</f>
        <v>830</v>
      </c>
      <c r="M1411" s="21" t="n">
        <f aca="false">K1411-L1411</f>
        <v>106</v>
      </c>
      <c r="N1411" s="11" t="str">
        <f aca="false">TEXT(B1411,"mmm")</f>
        <v>Dec</v>
      </c>
    </row>
    <row r="1412" customFormat="false" ht="15" hidden="false" customHeight="false" outlineLevel="0" collapsed="false">
      <c r="A1412" s="11" t="s">
        <v>1473</v>
      </c>
      <c r="B1412" s="20" t="n">
        <v>46005</v>
      </c>
      <c r="C1412" s="11" t="s">
        <v>20</v>
      </c>
      <c r="D1412" s="11" t="s">
        <v>33</v>
      </c>
      <c r="E1412" s="11" t="s">
        <v>48</v>
      </c>
      <c r="F1412" s="11" t="s">
        <v>45</v>
      </c>
      <c r="G1412" s="11" t="n">
        <v>2</v>
      </c>
      <c r="H1412" s="21" t="n">
        <v>520</v>
      </c>
      <c r="I1412" s="21" t="n">
        <v>415</v>
      </c>
      <c r="J1412" s="22" t="n">
        <v>0.1</v>
      </c>
      <c r="K1412" s="21" t="n">
        <f aca="false">G1412*H1412*(1-J1412)</f>
        <v>936</v>
      </c>
      <c r="L1412" s="21" t="n">
        <f aca="false">G1412*I1412</f>
        <v>830</v>
      </c>
      <c r="M1412" s="21" t="n">
        <f aca="false">K1412-L1412</f>
        <v>106</v>
      </c>
      <c r="N1412" s="11" t="str">
        <f aca="false">TEXT(B1412,"mmm")</f>
        <v>Dec</v>
      </c>
    </row>
    <row r="1413" customFormat="false" ht="15" hidden="false" customHeight="false" outlineLevel="0" collapsed="false">
      <c r="A1413" s="11" t="s">
        <v>1474</v>
      </c>
      <c r="B1413" s="20" t="n">
        <v>46005</v>
      </c>
      <c r="C1413" s="11" t="s">
        <v>18</v>
      </c>
      <c r="D1413" s="11" t="s">
        <v>33</v>
      </c>
      <c r="E1413" s="11" t="s">
        <v>48</v>
      </c>
      <c r="F1413" s="11" t="s">
        <v>44</v>
      </c>
      <c r="G1413" s="11" t="n">
        <v>3</v>
      </c>
      <c r="H1413" s="21" t="n">
        <v>520</v>
      </c>
      <c r="I1413" s="21" t="n">
        <v>415</v>
      </c>
      <c r="J1413" s="22" t="n">
        <v>0</v>
      </c>
      <c r="K1413" s="21" t="n">
        <f aca="false">G1413*H1413*(1-J1413)</f>
        <v>1560</v>
      </c>
      <c r="L1413" s="21" t="n">
        <f aca="false">G1413*I1413</f>
        <v>1245</v>
      </c>
      <c r="M1413" s="21" t="n">
        <f aca="false">K1413-L1413</f>
        <v>315</v>
      </c>
      <c r="N1413" s="11" t="str">
        <f aca="false">TEXT(B1413,"mmm")</f>
        <v>Dec</v>
      </c>
    </row>
    <row r="1414" customFormat="false" ht="15" hidden="false" customHeight="false" outlineLevel="0" collapsed="false">
      <c r="A1414" s="11" t="s">
        <v>1475</v>
      </c>
      <c r="B1414" s="20" t="n">
        <v>46005</v>
      </c>
      <c r="C1414" s="11" t="s">
        <v>22</v>
      </c>
      <c r="D1414" s="11" t="s">
        <v>35</v>
      </c>
      <c r="E1414" s="11" t="s">
        <v>56</v>
      </c>
      <c r="F1414" s="11" t="s">
        <v>44</v>
      </c>
      <c r="G1414" s="11" t="n">
        <v>2</v>
      </c>
      <c r="H1414" s="21" t="n">
        <v>110</v>
      </c>
      <c r="I1414" s="21" t="n">
        <v>62</v>
      </c>
      <c r="J1414" s="22" t="n">
        <v>0.05</v>
      </c>
      <c r="K1414" s="21" t="n">
        <f aca="false">G1414*H1414*(1-J1414)</f>
        <v>209</v>
      </c>
      <c r="L1414" s="21" t="n">
        <f aca="false">G1414*I1414</f>
        <v>124</v>
      </c>
      <c r="M1414" s="21" t="n">
        <f aca="false">K1414-L1414</f>
        <v>85</v>
      </c>
      <c r="N1414" s="11" t="str">
        <f aca="false">TEXT(B1414,"mmm")</f>
        <v>Dec</v>
      </c>
    </row>
    <row r="1415" customFormat="false" ht="15" hidden="false" customHeight="false" outlineLevel="0" collapsed="false">
      <c r="A1415" s="11" t="s">
        <v>1476</v>
      </c>
      <c r="B1415" s="20" t="n">
        <v>46006</v>
      </c>
      <c r="C1415" s="11" t="s">
        <v>24</v>
      </c>
      <c r="D1415" s="11" t="s">
        <v>35</v>
      </c>
      <c r="E1415" s="11" t="s">
        <v>55</v>
      </c>
      <c r="F1415" s="11" t="s">
        <v>45</v>
      </c>
      <c r="G1415" s="11" t="n">
        <v>2</v>
      </c>
      <c r="H1415" s="21" t="n">
        <v>150</v>
      </c>
      <c r="I1415" s="21" t="n">
        <v>82</v>
      </c>
      <c r="J1415" s="22" t="n">
        <v>0.15</v>
      </c>
      <c r="K1415" s="21" t="n">
        <f aca="false">G1415*H1415*(1-J1415)</f>
        <v>255</v>
      </c>
      <c r="L1415" s="21" t="n">
        <f aca="false">G1415*I1415</f>
        <v>164</v>
      </c>
      <c r="M1415" s="21" t="n">
        <f aca="false">K1415-L1415</f>
        <v>91</v>
      </c>
      <c r="N1415" s="11" t="str">
        <f aca="false">TEXT(B1415,"mmm")</f>
        <v>Dec</v>
      </c>
    </row>
    <row r="1416" customFormat="false" ht="15" hidden="false" customHeight="false" outlineLevel="0" collapsed="false">
      <c r="A1416" s="11" t="s">
        <v>1477</v>
      </c>
      <c r="B1416" s="20" t="n">
        <v>46006</v>
      </c>
      <c r="C1416" s="11" t="s">
        <v>24</v>
      </c>
      <c r="D1416" s="11" t="s">
        <v>33</v>
      </c>
      <c r="E1416" s="11" t="s">
        <v>48</v>
      </c>
      <c r="F1416" s="11" t="s">
        <v>42</v>
      </c>
      <c r="G1416" s="11" t="n">
        <v>2</v>
      </c>
      <c r="H1416" s="21" t="n">
        <v>520</v>
      </c>
      <c r="I1416" s="21" t="n">
        <v>415</v>
      </c>
      <c r="J1416" s="22" t="n">
        <v>0.1</v>
      </c>
      <c r="K1416" s="21" t="n">
        <f aca="false">G1416*H1416*(1-J1416)</f>
        <v>936</v>
      </c>
      <c r="L1416" s="21" t="n">
        <f aca="false">G1416*I1416</f>
        <v>830</v>
      </c>
      <c r="M1416" s="21" t="n">
        <f aca="false">K1416-L1416</f>
        <v>106</v>
      </c>
      <c r="N1416" s="11" t="str">
        <f aca="false">TEXT(B1416,"mmm")</f>
        <v>Dec</v>
      </c>
    </row>
    <row r="1417" customFormat="false" ht="15" hidden="false" customHeight="false" outlineLevel="0" collapsed="false">
      <c r="A1417" s="11" t="s">
        <v>1478</v>
      </c>
      <c r="B1417" s="20" t="n">
        <v>46006</v>
      </c>
      <c r="C1417" s="11" t="s">
        <v>22</v>
      </c>
      <c r="D1417" s="11" t="s">
        <v>37</v>
      </c>
      <c r="E1417" s="11" t="s">
        <v>53</v>
      </c>
      <c r="F1417" s="11" t="s">
        <v>42</v>
      </c>
      <c r="G1417" s="11" t="n">
        <v>15</v>
      </c>
      <c r="H1417" s="21" t="n">
        <v>9</v>
      </c>
      <c r="I1417" s="21" t="n">
        <v>4.5</v>
      </c>
      <c r="J1417" s="22" t="n">
        <v>0</v>
      </c>
      <c r="K1417" s="21" t="n">
        <f aca="false">G1417*H1417*(1-J1417)</f>
        <v>135</v>
      </c>
      <c r="L1417" s="21" t="n">
        <f aca="false">G1417*I1417</f>
        <v>67.5</v>
      </c>
      <c r="M1417" s="21" t="n">
        <f aca="false">K1417-L1417</f>
        <v>67.5</v>
      </c>
      <c r="N1417" s="11" t="str">
        <f aca="false">TEXT(B1417,"mmm")</f>
        <v>Dec</v>
      </c>
    </row>
    <row r="1418" customFormat="false" ht="15" hidden="false" customHeight="false" outlineLevel="0" collapsed="false">
      <c r="A1418" s="11" t="s">
        <v>1479</v>
      </c>
      <c r="B1418" s="20" t="n">
        <v>46006</v>
      </c>
      <c r="C1418" s="11" t="s">
        <v>20</v>
      </c>
      <c r="D1418" s="11" t="s">
        <v>33</v>
      </c>
      <c r="E1418" s="11" t="s">
        <v>48</v>
      </c>
      <c r="F1418" s="11" t="s">
        <v>42</v>
      </c>
      <c r="G1418" s="11" t="n">
        <v>4</v>
      </c>
      <c r="H1418" s="21" t="n">
        <v>520</v>
      </c>
      <c r="I1418" s="21" t="n">
        <v>415</v>
      </c>
      <c r="J1418" s="22" t="n">
        <v>0.05</v>
      </c>
      <c r="K1418" s="21" t="n">
        <f aca="false">G1418*H1418*(1-J1418)</f>
        <v>1976</v>
      </c>
      <c r="L1418" s="21" t="n">
        <f aca="false">G1418*I1418</f>
        <v>1660</v>
      </c>
      <c r="M1418" s="21" t="n">
        <f aca="false">K1418-L1418</f>
        <v>316</v>
      </c>
      <c r="N1418" s="11" t="str">
        <f aca="false">TEXT(B1418,"mmm")</f>
        <v>Dec</v>
      </c>
    </row>
    <row r="1419" customFormat="false" ht="15" hidden="false" customHeight="false" outlineLevel="0" collapsed="false">
      <c r="A1419" s="11" t="s">
        <v>1480</v>
      </c>
      <c r="B1419" s="20" t="n">
        <v>46006</v>
      </c>
      <c r="C1419" s="11" t="s">
        <v>18</v>
      </c>
      <c r="D1419" s="11" t="s">
        <v>37</v>
      </c>
      <c r="E1419" s="11" t="s">
        <v>52</v>
      </c>
      <c r="F1419" s="11" t="s">
        <v>44</v>
      </c>
      <c r="G1419" s="11" t="n">
        <v>23</v>
      </c>
      <c r="H1419" s="21" t="n">
        <v>12</v>
      </c>
      <c r="I1419" s="21" t="n">
        <v>6</v>
      </c>
      <c r="J1419" s="22" t="n">
        <v>0</v>
      </c>
      <c r="K1419" s="21" t="n">
        <f aca="false">G1419*H1419*(1-J1419)</f>
        <v>276</v>
      </c>
      <c r="L1419" s="21" t="n">
        <f aca="false">G1419*I1419</f>
        <v>138</v>
      </c>
      <c r="M1419" s="21" t="n">
        <f aca="false">K1419-L1419</f>
        <v>138</v>
      </c>
      <c r="N1419" s="11" t="str">
        <f aca="false">TEXT(B1419,"mmm")</f>
        <v>Dec</v>
      </c>
    </row>
    <row r="1420" customFormat="false" ht="15" hidden="false" customHeight="false" outlineLevel="0" collapsed="false">
      <c r="A1420" s="11" t="s">
        <v>1481</v>
      </c>
      <c r="B1420" s="20" t="n">
        <v>46006</v>
      </c>
      <c r="C1420" s="11" t="s">
        <v>18</v>
      </c>
      <c r="D1420" s="11" t="s">
        <v>37</v>
      </c>
      <c r="E1420" s="11" t="s">
        <v>52</v>
      </c>
      <c r="F1420" s="11" t="s">
        <v>42</v>
      </c>
      <c r="G1420" s="11" t="n">
        <v>34</v>
      </c>
      <c r="H1420" s="21" t="n">
        <v>12</v>
      </c>
      <c r="I1420" s="21" t="n">
        <v>6</v>
      </c>
      <c r="J1420" s="22" t="n">
        <v>0.05</v>
      </c>
      <c r="K1420" s="21" t="n">
        <f aca="false">G1420*H1420*(1-J1420)</f>
        <v>387.6</v>
      </c>
      <c r="L1420" s="21" t="n">
        <f aca="false">G1420*I1420</f>
        <v>204</v>
      </c>
      <c r="M1420" s="21" t="n">
        <f aca="false">K1420-L1420</f>
        <v>183.6</v>
      </c>
      <c r="N1420" s="11" t="str">
        <f aca="false">TEXT(B1420,"mmm")</f>
        <v>Dec</v>
      </c>
    </row>
    <row r="1421" customFormat="false" ht="15" hidden="false" customHeight="false" outlineLevel="0" collapsed="false">
      <c r="A1421" s="11" t="s">
        <v>1482</v>
      </c>
      <c r="B1421" s="20" t="n">
        <v>46006</v>
      </c>
      <c r="C1421" s="11" t="s">
        <v>20</v>
      </c>
      <c r="D1421" s="11" t="s">
        <v>33</v>
      </c>
      <c r="E1421" s="11" t="s">
        <v>51</v>
      </c>
      <c r="F1421" s="11" t="s">
        <v>44</v>
      </c>
      <c r="G1421" s="11" t="n">
        <v>5</v>
      </c>
      <c r="H1421" s="21" t="n">
        <v>90</v>
      </c>
      <c r="I1421" s="21" t="n">
        <v>58</v>
      </c>
      <c r="J1421" s="22" t="n">
        <v>0.05</v>
      </c>
      <c r="K1421" s="21" t="n">
        <f aca="false">G1421*H1421*(1-J1421)</f>
        <v>427.5</v>
      </c>
      <c r="L1421" s="21" t="n">
        <f aca="false">G1421*I1421</f>
        <v>290</v>
      </c>
      <c r="M1421" s="21" t="n">
        <f aca="false">K1421-L1421</f>
        <v>137.5</v>
      </c>
      <c r="N1421" s="11" t="str">
        <f aca="false">TEXT(B1421,"mmm")</f>
        <v>Dec</v>
      </c>
    </row>
    <row r="1422" customFormat="false" ht="15" hidden="false" customHeight="false" outlineLevel="0" collapsed="false">
      <c r="A1422" s="11" t="s">
        <v>1483</v>
      </c>
      <c r="B1422" s="20" t="n">
        <v>46006</v>
      </c>
      <c r="C1422" s="11" t="s">
        <v>22</v>
      </c>
      <c r="D1422" s="11" t="s">
        <v>35</v>
      </c>
      <c r="E1422" s="11" t="s">
        <v>54</v>
      </c>
      <c r="F1422" s="11" t="s">
        <v>42</v>
      </c>
      <c r="G1422" s="11" t="n">
        <v>2</v>
      </c>
      <c r="H1422" s="21" t="n">
        <v>320</v>
      </c>
      <c r="I1422" s="21" t="n">
        <v>185</v>
      </c>
      <c r="J1422" s="22" t="n">
        <v>0.05</v>
      </c>
      <c r="K1422" s="21" t="n">
        <f aca="false">G1422*H1422*(1-J1422)</f>
        <v>608</v>
      </c>
      <c r="L1422" s="21" t="n">
        <f aca="false">G1422*I1422</f>
        <v>370</v>
      </c>
      <c r="M1422" s="21" t="n">
        <f aca="false">K1422-L1422</f>
        <v>238</v>
      </c>
      <c r="N1422" s="11" t="str">
        <f aca="false">TEXT(B1422,"mmm")</f>
        <v>Dec</v>
      </c>
    </row>
    <row r="1423" customFormat="false" ht="15" hidden="false" customHeight="false" outlineLevel="0" collapsed="false">
      <c r="A1423" s="11" t="s">
        <v>1484</v>
      </c>
      <c r="B1423" s="20" t="n">
        <v>46007</v>
      </c>
      <c r="C1423" s="11" t="s">
        <v>18</v>
      </c>
      <c r="D1423" s="11" t="s">
        <v>33</v>
      </c>
      <c r="E1423" s="11" t="s">
        <v>48</v>
      </c>
      <c r="F1423" s="11" t="s">
        <v>42</v>
      </c>
      <c r="G1423" s="11" t="n">
        <v>2</v>
      </c>
      <c r="H1423" s="21" t="n">
        <v>520</v>
      </c>
      <c r="I1423" s="21" t="n">
        <v>415</v>
      </c>
      <c r="J1423" s="22" t="n">
        <v>0.15</v>
      </c>
      <c r="K1423" s="21" t="n">
        <f aca="false">G1423*H1423*(1-J1423)</f>
        <v>884</v>
      </c>
      <c r="L1423" s="21" t="n">
        <f aca="false">G1423*I1423</f>
        <v>830</v>
      </c>
      <c r="M1423" s="21" t="n">
        <f aca="false">K1423-L1423</f>
        <v>54</v>
      </c>
      <c r="N1423" s="11" t="str">
        <f aca="false">TEXT(B1423,"mmm")</f>
        <v>Dec</v>
      </c>
    </row>
    <row r="1424" customFormat="false" ht="15" hidden="false" customHeight="false" outlineLevel="0" collapsed="false">
      <c r="A1424" s="11" t="s">
        <v>1485</v>
      </c>
      <c r="B1424" s="20" t="n">
        <v>46007</v>
      </c>
      <c r="C1424" s="11" t="s">
        <v>20</v>
      </c>
      <c r="D1424" s="11" t="s">
        <v>37</v>
      </c>
      <c r="E1424" s="11" t="s">
        <v>53</v>
      </c>
      <c r="F1424" s="11" t="s">
        <v>42</v>
      </c>
      <c r="G1424" s="11" t="n">
        <v>21</v>
      </c>
      <c r="H1424" s="21" t="n">
        <v>9</v>
      </c>
      <c r="I1424" s="21" t="n">
        <v>4.5</v>
      </c>
      <c r="J1424" s="22" t="n">
        <v>0</v>
      </c>
      <c r="K1424" s="21" t="n">
        <f aca="false">G1424*H1424*(1-J1424)</f>
        <v>189</v>
      </c>
      <c r="L1424" s="21" t="n">
        <f aca="false">G1424*I1424</f>
        <v>94.5</v>
      </c>
      <c r="M1424" s="21" t="n">
        <f aca="false">K1424-L1424</f>
        <v>94.5</v>
      </c>
      <c r="N1424" s="11" t="str">
        <f aca="false">TEXT(B1424,"mmm")</f>
        <v>Dec</v>
      </c>
    </row>
    <row r="1425" customFormat="false" ht="15" hidden="false" customHeight="false" outlineLevel="0" collapsed="false">
      <c r="A1425" s="11" t="s">
        <v>1486</v>
      </c>
      <c r="B1425" s="20" t="n">
        <v>46007</v>
      </c>
      <c r="C1425" s="11" t="s">
        <v>22</v>
      </c>
      <c r="D1425" s="11" t="s">
        <v>37</v>
      </c>
      <c r="E1425" s="11" t="s">
        <v>49</v>
      </c>
      <c r="F1425" s="11" t="s">
        <v>42</v>
      </c>
      <c r="G1425" s="11" t="n">
        <v>39</v>
      </c>
      <c r="H1425" s="21" t="n">
        <v>28</v>
      </c>
      <c r="I1425" s="21" t="n">
        <v>17</v>
      </c>
      <c r="J1425" s="22" t="n">
        <v>0.15</v>
      </c>
      <c r="K1425" s="21" t="n">
        <f aca="false">G1425*H1425*(1-J1425)</f>
        <v>928.2</v>
      </c>
      <c r="L1425" s="21" t="n">
        <f aca="false">G1425*I1425</f>
        <v>663</v>
      </c>
      <c r="M1425" s="21" t="n">
        <f aca="false">K1425-L1425</f>
        <v>265.2</v>
      </c>
      <c r="N1425" s="11" t="str">
        <f aca="false">TEXT(B1425,"mmm")</f>
        <v>Dec</v>
      </c>
    </row>
    <row r="1426" customFormat="false" ht="15" hidden="false" customHeight="false" outlineLevel="0" collapsed="false">
      <c r="A1426" s="11" t="s">
        <v>1487</v>
      </c>
      <c r="B1426" s="20" t="n">
        <v>46007</v>
      </c>
      <c r="C1426" s="11" t="s">
        <v>20</v>
      </c>
      <c r="D1426" s="11" t="s">
        <v>37</v>
      </c>
      <c r="E1426" s="11" t="s">
        <v>53</v>
      </c>
      <c r="F1426" s="11" t="s">
        <v>42</v>
      </c>
      <c r="G1426" s="11" t="n">
        <v>4</v>
      </c>
      <c r="H1426" s="21" t="n">
        <v>9</v>
      </c>
      <c r="I1426" s="21" t="n">
        <v>4.5</v>
      </c>
      <c r="J1426" s="22" t="n">
        <v>0.1</v>
      </c>
      <c r="K1426" s="21" t="n">
        <f aca="false">G1426*H1426*(1-J1426)</f>
        <v>32.4</v>
      </c>
      <c r="L1426" s="21" t="n">
        <f aca="false">G1426*I1426</f>
        <v>18</v>
      </c>
      <c r="M1426" s="21" t="n">
        <f aca="false">K1426-L1426</f>
        <v>14.4</v>
      </c>
      <c r="N1426" s="11" t="str">
        <f aca="false">TEXT(B1426,"mmm")</f>
        <v>Dec</v>
      </c>
    </row>
    <row r="1427" customFormat="false" ht="15" hidden="false" customHeight="false" outlineLevel="0" collapsed="false">
      <c r="A1427" s="11" t="s">
        <v>1488</v>
      </c>
      <c r="B1427" s="20" t="n">
        <v>46007</v>
      </c>
      <c r="C1427" s="11" t="s">
        <v>24</v>
      </c>
      <c r="D1427" s="11" t="s">
        <v>37</v>
      </c>
      <c r="E1427" s="11" t="s">
        <v>53</v>
      </c>
      <c r="F1427" s="11" t="s">
        <v>45</v>
      </c>
      <c r="G1427" s="11" t="n">
        <v>75</v>
      </c>
      <c r="H1427" s="21" t="n">
        <v>9</v>
      </c>
      <c r="I1427" s="21" t="n">
        <v>4.5</v>
      </c>
      <c r="J1427" s="22" t="n">
        <v>0.1</v>
      </c>
      <c r="K1427" s="21" t="n">
        <f aca="false">G1427*H1427*(1-J1427)</f>
        <v>607.5</v>
      </c>
      <c r="L1427" s="21" t="n">
        <f aca="false">G1427*I1427</f>
        <v>337.5</v>
      </c>
      <c r="M1427" s="21" t="n">
        <f aca="false">K1427-L1427</f>
        <v>270</v>
      </c>
      <c r="N1427" s="11" t="str">
        <f aca="false">TEXT(B1427,"mmm")</f>
        <v>Dec</v>
      </c>
    </row>
    <row r="1428" customFormat="false" ht="15" hidden="false" customHeight="false" outlineLevel="0" collapsed="false">
      <c r="A1428" s="11" t="s">
        <v>1489</v>
      </c>
      <c r="B1428" s="20" t="n">
        <v>46008</v>
      </c>
      <c r="C1428" s="11" t="s">
        <v>22</v>
      </c>
      <c r="D1428" s="11" t="s">
        <v>33</v>
      </c>
      <c r="E1428" s="11" t="s">
        <v>48</v>
      </c>
      <c r="F1428" s="11" t="s">
        <v>42</v>
      </c>
      <c r="G1428" s="11" t="n">
        <v>1</v>
      </c>
      <c r="H1428" s="21" t="n">
        <v>520</v>
      </c>
      <c r="I1428" s="21" t="n">
        <v>415</v>
      </c>
      <c r="J1428" s="22" t="n">
        <v>0.05</v>
      </c>
      <c r="K1428" s="21" t="n">
        <f aca="false">G1428*H1428*(1-J1428)</f>
        <v>494</v>
      </c>
      <c r="L1428" s="21" t="n">
        <f aca="false">G1428*I1428</f>
        <v>415</v>
      </c>
      <c r="M1428" s="21" t="n">
        <f aca="false">K1428-L1428</f>
        <v>79</v>
      </c>
      <c r="N1428" s="11" t="str">
        <f aca="false">TEXT(B1428,"mmm")</f>
        <v>Dec</v>
      </c>
    </row>
    <row r="1429" customFormat="false" ht="15" hidden="false" customHeight="false" outlineLevel="0" collapsed="false">
      <c r="A1429" s="11" t="s">
        <v>1490</v>
      </c>
      <c r="B1429" s="20" t="n">
        <v>46008</v>
      </c>
      <c r="C1429" s="11" t="s">
        <v>18</v>
      </c>
      <c r="D1429" s="11" t="s">
        <v>33</v>
      </c>
      <c r="E1429" s="11" t="s">
        <v>51</v>
      </c>
      <c r="F1429" s="11" t="s">
        <v>42</v>
      </c>
      <c r="G1429" s="11" t="n">
        <v>6</v>
      </c>
      <c r="H1429" s="21" t="n">
        <v>90</v>
      </c>
      <c r="I1429" s="21" t="n">
        <v>58</v>
      </c>
      <c r="J1429" s="22" t="n">
        <v>0.1</v>
      </c>
      <c r="K1429" s="21" t="n">
        <f aca="false">G1429*H1429*(1-J1429)</f>
        <v>486</v>
      </c>
      <c r="L1429" s="21" t="n">
        <f aca="false">G1429*I1429</f>
        <v>348</v>
      </c>
      <c r="M1429" s="21" t="n">
        <f aca="false">K1429-L1429</f>
        <v>138</v>
      </c>
      <c r="N1429" s="11" t="str">
        <f aca="false">TEXT(B1429,"mmm")</f>
        <v>Dec</v>
      </c>
    </row>
    <row r="1430" customFormat="false" ht="15" hidden="false" customHeight="false" outlineLevel="0" collapsed="false">
      <c r="A1430" s="11" t="s">
        <v>1491</v>
      </c>
      <c r="B1430" s="20" t="n">
        <v>46008</v>
      </c>
      <c r="C1430" s="11" t="s">
        <v>22</v>
      </c>
      <c r="D1430" s="11" t="s">
        <v>37</v>
      </c>
      <c r="E1430" s="11" t="s">
        <v>53</v>
      </c>
      <c r="F1430" s="11" t="s">
        <v>42</v>
      </c>
      <c r="G1430" s="11" t="n">
        <v>16</v>
      </c>
      <c r="H1430" s="21" t="n">
        <v>9</v>
      </c>
      <c r="I1430" s="21" t="n">
        <v>4.5</v>
      </c>
      <c r="J1430" s="22" t="n">
        <v>0.1</v>
      </c>
      <c r="K1430" s="21" t="n">
        <f aca="false">G1430*H1430*(1-J1430)</f>
        <v>129.6</v>
      </c>
      <c r="L1430" s="21" t="n">
        <f aca="false">G1430*I1430</f>
        <v>72</v>
      </c>
      <c r="M1430" s="21" t="n">
        <f aca="false">K1430-L1430</f>
        <v>57.6</v>
      </c>
      <c r="N1430" s="11" t="str">
        <f aca="false">TEXT(B1430,"mmm")</f>
        <v>Dec</v>
      </c>
    </row>
    <row r="1431" customFormat="false" ht="15" hidden="false" customHeight="false" outlineLevel="0" collapsed="false">
      <c r="A1431" s="11" t="s">
        <v>1492</v>
      </c>
      <c r="B1431" s="20" t="n">
        <v>46008</v>
      </c>
      <c r="C1431" s="11" t="s">
        <v>22</v>
      </c>
      <c r="D1431" s="11" t="s">
        <v>33</v>
      </c>
      <c r="E1431" s="11" t="s">
        <v>51</v>
      </c>
      <c r="F1431" s="11" t="s">
        <v>42</v>
      </c>
      <c r="G1431" s="11" t="n">
        <v>2</v>
      </c>
      <c r="H1431" s="21" t="n">
        <v>90</v>
      </c>
      <c r="I1431" s="21" t="n">
        <v>58</v>
      </c>
      <c r="J1431" s="22" t="n">
        <v>0</v>
      </c>
      <c r="K1431" s="21" t="n">
        <f aca="false">G1431*H1431*(1-J1431)</f>
        <v>180</v>
      </c>
      <c r="L1431" s="21" t="n">
        <f aca="false">G1431*I1431</f>
        <v>116</v>
      </c>
      <c r="M1431" s="21" t="n">
        <f aca="false">K1431-L1431</f>
        <v>64</v>
      </c>
      <c r="N1431" s="11" t="str">
        <f aca="false">TEXT(B1431,"mmm")</f>
        <v>Dec</v>
      </c>
    </row>
    <row r="1432" customFormat="false" ht="15" hidden="false" customHeight="false" outlineLevel="0" collapsed="false">
      <c r="A1432" s="11" t="s">
        <v>1493</v>
      </c>
      <c r="B1432" s="20" t="n">
        <v>46008</v>
      </c>
      <c r="C1432" s="11" t="s">
        <v>18</v>
      </c>
      <c r="D1432" s="11" t="s">
        <v>37</v>
      </c>
      <c r="E1432" s="11" t="s">
        <v>52</v>
      </c>
      <c r="F1432" s="11" t="s">
        <v>44</v>
      </c>
      <c r="G1432" s="11" t="n">
        <v>9</v>
      </c>
      <c r="H1432" s="21" t="n">
        <v>12</v>
      </c>
      <c r="I1432" s="21" t="n">
        <v>6</v>
      </c>
      <c r="J1432" s="22" t="n">
        <v>0.05</v>
      </c>
      <c r="K1432" s="21" t="n">
        <f aca="false">G1432*H1432*(1-J1432)</f>
        <v>102.6</v>
      </c>
      <c r="L1432" s="21" t="n">
        <f aca="false">G1432*I1432</f>
        <v>54</v>
      </c>
      <c r="M1432" s="21" t="n">
        <f aca="false">K1432-L1432</f>
        <v>48.6</v>
      </c>
      <c r="N1432" s="11" t="str">
        <f aca="false">TEXT(B1432,"mmm")</f>
        <v>Dec</v>
      </c>
    </row>
    <row r="1433" customFormat="false" ht="15" hidden="false" customHeight="false" outlineLevel="0" collapsed="false">
      <c r="A1433" s="11" t="s">
        <v>1494</v>
      </c>
      <c r="B1433" s="20" t="n">
        <v>46008</v>
      </c>
      <c r="C1433" s="11" t="s">
        <v>22</v>
      </c>
      <c r="D1433" s="11" t="s">
        <v>35</v>
      </c>
      <c r="E1433" s="11" t="s">
        <v>56</v>
      </c>
      <c r="F1433" s="11" t="s">
        <v>42</v>
      </c>
      <c r="G1433" s="11" t="n">
        <v>4</v>
      </c>
      <c r="H1433" s="21" t="n">
        <v>110</v>
      </c>
      <c r="I1433" s="21" t="n">
        <v>62</v>
      </c>
      <c r="J1433" s="22" t="n">
        <v>0.05</v>
      </c>
      <c r="K1433" s="21" t="n">
        <f aca="false">G1433*H1433*(1-J1433)</f>
        <v>418</v>
      </c>
      <c r="L1433" s="21" t="n">
        <f aca="false">G1433*I1433</f>
        <v>248</v>
      </c>
      <c r="M1433" s="21" t="n">
        <f aca="false">K1433-L1433</f>
        <v>170</v>
      </c>
      <c r="N1433" s="11" t="str">
        <f aca="false">TEXT(B1433,"mmm")</f>
        <v>Dec</v>
      </c>
    </row>
    <row r="1434" customFormat="false" ht="15" hidden="false" customHeight="false" outlineLevel="0" collapsed="false">
      <c r="A1434" s="11" t="s">
        <v>1495</v>
      </c>
      <c r="B1434" s="20" t="n">
        <v>46009</v>
      </c>
      <c r="C1434" s="11" t="s">
        <v>20</v>
      </c>
      <c r="D1434" s="11" t="s">
        <v>35</v>
      </c>
      <c r="E1434" s="11" t="s">
        <v>55</v>
      </c>
      <c r="F1434" s="11" t="s">
        <v>42</v>
      </c>
      <c r="G1434" s="11" t="n">
        <v>4</v>
      </c>
      <c r="H1434" s="21" t="n">
        <v>150</v>
      </c>
      <c r="I1434" s="21" t="n">
        <v>82</v>
      </c>
      <c r="J1434" s="22" t="n">
        <v>0.15</v>
      </c>
      <c r="K1434" s="21" t="n">
        <f aca="false">G1434*H1434*(1-J1434)</f>
        <v>510</v>
      </c>
      <c r="L1434" s="21" t="n">
        <f aca="false">G1434*I1434</f>
        <v>328</v>
      </c>
      <c r="M1434" s="21" t="n">
        <f aca="false">K1434-L1434</f>
        <v>182</v>
      </c>
      <c r="N1434" s="11" t="str">
        <f aca="false">TEXT(B1434,"mmm")</f>
        <v>Dec</v>
      </c>
    </row>
    <row r="1435" customFormat="false" ht="15" hidden="false" customHeight="false" outlineLevel="0" collapsed="false">
      <c r="A1435" s="11" t="s">
        <v>1496</v>
      </c>
      <c r="B1435" s="20" t="n">
        <v>46009</v>
      </c>
      <c r="C1435" s="11" t="s">
        <v>20</v>
      </c>
      <c r="D1435" s="11" t="s">
        <v>37</v>
      </c>
      <c r="E1435" s="11" t="s">
        <v>49</v>
      </c>
      <c r="F1435" s="11" t="s">
        <v>42</v>
      </c>
      <c r="G1435" s="11" t="n">
        <v>25</v>
      </c>
      <c r="H1435" s="21" t="n">
        <v>28</v>
      </c>
      <c r="I1435" s="21" t="n">
        <v>17</v>
      </c>
      <c r="J1435" s="22" t="n">
        <v>0</v>
      </c>
      <c r="K1435" s="21" t="n">
        <f aca="false">G1435*H1435*(1-J1435)</f>
        <v>700</v>
      </c>
      <c r="L1435" s="21" t="n">
        <f aca="false">G1435*I1435</f>
        <v>425</v>
      </c>
      <c r="M1435" s="21" t="n">
        <f aca="false">K1435-L1435</f>
        <v>275</v>
      </c>
      <c r="N1435" s="11" t="str">
        <f aca="false">TEXT(B1435,"mmm")</f>
        <v>Dec</v>
      </c>
    </row>
    <row r="1436" customFormat="false" ht="15" hidden="false" customHeight="false" outlineLevel="0" collapsed="false">
      <c r="A1436" s="11" t="s">
        <v>1497</v>
      </c>
      <c r="B1436" s="20" t="n">
        <v>46009</v>
      </c>
      <c r="C1436" s="11" t="s">
        <v>22</v>
      </c>
      <c r="D1436" s="11" t="s">
        <v>37</v>
      </c>
      <c r="E1436" s="11" t="s">
        <v>52</v>
      </c>
      <c r="F1436" s="11" t="s">
        <v>45</v>
      </c>
      <c r="G1436" s="11" t="n">
        <v>69</v>
      </c>
      <c r="H1436" s="21" t="n">
        <v>12</v>
      </c>
      <c r="I1436" s="21" t="n">
        <v>6</v>
      </c>
      <c r="J1436" s="22" t="n">
        <v>0.15</v>
      </c>
      <c r="K1436" s="21" t="n">
        <f aca="false">G1436*H1436*(1-J1436)</f>
        <v>703.8</v>
      </c>
      <c r="L1436" s="21" t="n">
        <f aca="false">G1436*I1436</f>
        <v>414</v>
      </c>
      <c r="M1436" s="21" t="n">
        <f aca="false">K1436-L1436</f>
        <v>289.8</v>
      </c>
      <c r="N1436" s="11" t="str">
        <f aca="false">TEXT(B1436,"mmm")</f>
        <v>Dec</v>
      </c>
    </row>
    <row r="1437" customFormat="false" ht="15" hidden="false" customHeight="false" outlineLevel="0" collapsed="false">
      <c r="A1437" s="11" t="s">
        <v>1498</v>
      </c>
      <c r="B1437" s="20" t="n">
        <v>46009</v>
      </c>
      <c r="C1437" s="11" t="s">
        <v>22</v>
      </c>
      <c r="D1437" s="11" t="s">
        <v>37</v>
      </c>
      <c r="E1437" s="11" t="s">
        <v>52</v>
      </c>
      <c r="F1437" s="11" t="s">
        <v>44</v>
      </c>
      <c r="G1437" s="11" t="n">
        <v>25</v>
      </c>
      <c r="H1437" s="21" t="n">
        <v>12</v>
      </c>
      <c r="I1437" s="21" t="n">
        <v>6</v>
      </c>
      <c r="J1437" s="22" t="n">
        <v>0.05</v>
      </c>
      <c r="K1437" s="21" t="n">
        <f aca="false">G1437*H1437*(1-J1437)</f>
        <v>285</v>
      </c>
      <c r="L1437" s="21" t="n">
        <f aca="false">G1437*I1437</f>
        <v>150</v>
      </c>
      <c r="M1437" s="21" t="n">
        <f aca="false">K1437-L1437</f>
        <v>135</v>
      </c>
      <c r="N1437" s="11" t="str">
        <f aca="false">TEXT(B1437,"mmm")</f>
        <v>Dec</v>
      </c>
    </row>
    <row r="1438" customFormat="false" ht="15" hidden="false" customHeight="false" outlineLevel="0" collapsed="false">
      <c r="A1438" s="11" t="s">
        <v>1499</v>
      </c>
      <c r="B1438" s="20" t="n">
        <v>46009</v>
      </c>
      <c r="C1438" s="11" t="s">
        <v>22</v>
      </c>
      <c r="D1438" s="11" t="s">
        <v>37</v>
      </c>
      <c r="E1438" s="11" t="s">
        <v>52</v>
      </c>
      <c r="F1438" s="11" t="s">
        <v>42</v>
      </c>
      <c r="G1438" s="11" t="n">
        <v>28</v>
      </c>
      <c r="H1438" s="21" t="n">
        <v>12</v>
      </c>
      <c r="I1438" s="21" t="n">
        <v>6</v>
      </c>
      <c r="J1438" s="22" t="n">
        <v>0.15</v>
      </c>
      <c r="K1438" s="21" t="n">
        <f aca="false">G1438*H1438*(1-J1438)</f>
        <v>285.6</v>
      </c>
      <c r="L1438" s="21" t="n">
        <f aca="false">G1438*I1438</f>
        <v>168</v>
      </c>
      <c r="M1438" s="21" t="n">
        <f aca="false">K1438-L1438</f>
        <v>117.6</v>
      </c>
      <c r="N1438" s="11" t="str">
        <f aca="false">TEXT(B1438,"mmm")</f>
        <v>Dec</v>
      </c>
    </row>
    <row r="1439" customFormat="false" ht="15" hidden="false" customHeight="false" outlineLevel="0" collapsed="false">
      <c r="A1439" s="11" t="s">
        <v>1500</v>
      </c>
      <c r="B1439" s="20" t="n">
        <v>46009</v>
      </c>
      <c r="C1439" s="11" t="s">
        <v>22</v>
      </c>
      <c r="D1439" s="11" t="s">
        <v>37</v>
      </c>
      <c r="E1439" s="11" t="s">
        <v>53</v>
      </c>
      <c r="F1439" s="11" t="s">
        <v>45</v>
      </c>
      <c r="G1439" s="11" t="n">
        <v>114</v>
      </c>
      <c r="H1439" s="21" t="n">
        <v>9</v>
      </c>
      <c r="I1439" s="21" t="n">
        <v>4.5</v>
      </c>
      <c r="J1439" s="22" t="n">
        <v>0.1</v>
      </c>
      <c r="K1439" s="21" t="n">
        <f aca="false">G1439*H1439*(1-J1439)</f>
        <v>923.4</v>
      </c>
      <c r="L1439" s="21" t="n">
        <f aca="false">G1439*I1439</f>
        <v>513</v>
      </c>
      <c r="M1439" s="21" t="n">
        <f aca="false">K1439-L1439</f>
        <v>410.4</v>
      </c>
      <c r="N1439" s="11" t="str">
        <f aca="false">TEXT(B1439,"mmm")</f>
        <v>Dec</v>
      </c>
    </row>
    <row r="1440" customFormat="false" ht="15" hidden="false" customHeight="false" outlineLevel="0" collapsed="false">
      <c r="A1440" s="11" t="s">
        <v>1501</v>
      </c>
      <c r="B1440" s="20" t="n">
        <v>46010</v>
      </c>
      <c r="C1440" s="11" t="s">
        <v>18</v>
      </c>
      <c r="D1440" s="11" t="s">
        <v>37</v>
      </c>
      <c r="E1440" s="11" t="s">
        <v>49</v>
      </c>
      <c r="F1440" s="11" t="s">
        <v>44</v>
      </c>
      <c r="G1440" s="11" t="n">
        <v>27</v>
      </c>
      <c r="H1440" s="21" t="n">
        <v>28</v>
      </c>
      <c r="I1440" s="21" t="n">
        <v>17</v>
      </c>
      <c r="J1440" s="22" t="n">
        <v>0.05</v>
      </c>
      <c r="K1440" s="21" t="n">
        <f aca="false">G1440*H1440*(1-J1440)</f>
        <v>718.2</v>
      </c>
      <c r="L1440" s="21" t="n">
        <f aca="false">G1440*I1440</f>
        <v>459</v>
      </c>
      <c r="M1440" s="21" t="n">
        <f aca="false">K1440-L1440</f>
        <v>259.2</v>
      </c>
      <c r="N1440" s="11" t="str">
        <f aca="false">TEXT(B1440,"mmm")</f>
        <v>Dec</v>
      </c>
    </row>
    <row r="1441" customFormat="false" ht="15" hidden="false" customHeight="false" outlineLevel="0" collapsed="false">
      <c r="A1441" s="11" t="s">
        <v>1502</v>
      </c>
      <c r="B1441" s="20" t="n">
        <v>46010</v>
      </c>
      <c r="C1441" s="11" t="s">
        <v>18</v>
      </c>
      <c r="D1441" s="11" t="s">
        <v>37</v>
      </c>
      <c r="E1441" s="11" t="s">
        <v>53</v>
      </c>
      <c r="F1441" s="11" t="s">
        <v>44</v>
      </c>
      <c r="G1441" s="11" t="n">
        <v>40</v>
      </c>
      <c r="H1441" s="21" t="n">
        <v>9</v>
      </c>
      <c r="I1441" s="21" t="n">
        <v>4.5</v>
      </c>
      <c r="J1441" s="22" t="n">
        <v>0</v>
      </c>
      <c r="K1441" s="21" t="n">
        <f aca="false">G1441*H1441*(1-J1441)</f>
        <v>360</v>
      </c>
      <c r="L1441" s="21" t="n">
        <f aca="false">G1441*I1441</f>
        <v>180</v>
      </c>
      <c r="M1441" s="21" t="n">
        <f aca="false">K1441-L1441</f>
        <v>180</v>
      </c>
      <c r="N1441" s="11" t="str">
        <f aca="false">TEXT(B1441,"mmm")</f>
        <v>Dec</v>
      </c>
    </row>
    <row r="1442" customFormat="false" ht="15" hidden="false" customHeight="false" outlineLevel="0" collapsed="false">
      <c r="A1442" s="11" t="s">
        <v>1503</v>
      </c>
      <c r="B1442" s="20" t="n">
        <v>46010</v>
      </c>
      <c r="C1442" s="11" t="s">
        <v>24</v>
      </c>
      <c r="D1442" s="11" t="s">
        <v>37</v>
      </c>
      <c r="E1442" s="11" t="s">
        <v>53</v>
      </c>
      <c r="F1442" s="11" t="s">
        <v>44</v>
      </c>
      <c r="G1442" s="11" t="n">
        <v>33</v>
      </c>
      <c r="H1442" s="21" t="n">
        <v>9</v>
      </c>
      <c r="I1442" s="21" t="n">
        <v>4.5</v>
      </c>
      <c r="J1442" s="22" t="n">
        <v>0</v>
      </c>
      <c r="K1442" s="21" t="n">
        <f aca="false">G1442*H1442*(1-J1442)</f>
        <v>297</v>
      </c>
      <c r="L1442" s="21" t="n">
        <f aca="false">G1442*I1442</f>
        <v>148.5</v>
      </c>
      <c r="M1442" s="21" t="n">
        <f aca="false">K1442-L1442</f>
        <v>148.5</v>
      </c>
      <c r="N1442" s="11" t="str">
        <f aca="false">TEXT(B1442,"mmm")</f>
        <v>Dec</v>
      </c>
    </row>
    <row r="1443" customFormat="false" ht="15" hidden="false" customHeight="false" outlineLevel="0" collapsed="false">
      <c r="A1443" s="11" t="s">
        <v>1504</v>
      </c>
      <c r="B1443" s="20" t="n">
        <v>46010</v>
      </c>
      <c r="C1443" s="11" t="s">
        <v>22</v>
      </c>
      <c r="D1443" s="11" t="s">
        <v>33</v>
      </c>
      <c r="E1443" s="11" t="s">
        <v>48</v>
      </c>
      <c r="F1443" s="11" t="s">
        <v>42</v>
      </c>
      <c r="G1443" s="11" t="n">
        <v>2</v>
      </c>
      <c r="H1443" s="21" t="n">
        <v>520</v>
      </c>
      <c r="I1443" s="21" t="n">
        <v>415</v>
      </c>
      <c r="J1443" s="22" t="n">
        <v>0</v>
      </c>
      <c r="K1443" s="21" t="n">
        <f aca="false">G1443*H1443*(1-J1443)</f>
        <v>1040</v>
      </c>
      <c r="L1443" s="21" t="n">
        <f aca="false">G1443*I1443</f>
        <v>830</v>
      </c>
      <c r="M1443" s="21" t="n">
        <f aca="false">K1443-L1443</f>
        <v>210</v>
      </c>
      <c r="N1443" s="11" t="str">
        <f aca="false">TEXT(B1443,"mmm")</f>
        <v>Dec</v>
      </c>
    </row>
    <row r="1444" customFormat="false" ht="15" hidden="false" customHeight="false" outlineLevel="0" collapsed="false">
      <c r="A1444" s="11" t="s">
        <v>1505</v>
      </c>
      <c r="B1444" s="20" t="n">
        <v>46010</v>
      </c>
      <c r="C1444" s="11" t="s">
        <v>22</v>
      </c>
      <c r="D1444" s="11" t="s">
        <v>33</v>
      </c>
      <c r="E1444" s="11" t="s">
        <v>51</v>
      </c>
      <c r="F1444" s="11" t="s">
        <v>42</v>
      </c>
      <c r="G1444" s="11" t="n">
        <v>4</v>
      </c>
      <c r="H1444" s="21" t="n">
        <v>90</v>
      </c>
      <c r="I1444" s="21" t="n">
        <v>58</v>
      </c>
      <c r="J1444" s="22" t="n">
        <v>0</v>
      </c>
      <c r="K1444" s="21" t="n">
        <f aca="false">G1444*H1444*(1-J1444)</f>
        <v>360</v>
      </c>
      <c r="L1444" s="21" t="n">
        <f aca="false">G1444*I1444</f>
        <v>232</v>
      </c>
      <c r="M1444" s="21" t="n">
        <f aca="false">K1444-L1444</f>
        <v>128</v>
      </c>
      <c r="N1444" s="11" t="str">
        <f aca="false">TEXT(B1444,"mmm")</f>
        <v>Dec</v>
      </c>
    </row>
    <row r="1445" customFormat="false" ht="15" hidden="false" customHeight="false" outlineLevel="0" collapsed="false">
      <c r="A1445" s="11" t="s">
        <v>1506</v>
      </c>
      <c r="B1445" s="20" t="n">
        <v>46011</v>
      </c>
      <c r="C1445" s="11" t="s">
        <v>18</v>
      </c>
      <c r="D1445" s="11" t="s">
        <v>33</v>
      </c>
      <c r="E1445" s="11" t="s">
        <v>48</v>
      </c>
      <c r="F1445" s="11" t="s">
        <v>42</v>
      </c>
      <c r="G1445" s="11" t="n">
        <v>2</v>
      </c>
      <c r="H1445" s="21" t="n">
        <v>520</v>
      </c>
      <c r="I1445" s="21" t="n">
        <v>415</v>
      </c>
      <c r="J1445" s="22" t="n">
        <v>0.1</v>
      </c>
      <c r="K1445" s="21" t="n">
        <f aca="false">G1445*H1445*(1-J1445)</f>
        <v>936</v>
      </c>
      <c r="L1445" s="21" t="n">
        <f aca="false">G1445*I1445</f>
        <v>830</v>
      </c>
      <c r="M1445" s="21" t="n">
        <f aca="false">K1445-L1445</f>
        <v>106</v>
      </c>
      <c r="N1445" s="11" t="str">
        <f aca="false">TEXT(B1445,"mmm")</f>
        <v>Dec</v>
      </c>
    </row>
    <row r="1446" customFormat="false" ht="15" hidden="false" customHeight="false" outlineLevel="0" collapsed="false">
      <c r="A1446" s="11" t="s">
        <v>1507</v>
      </c>
      <c r="B1446" s="20" t="n">
        <v>46011</v>
      </c>
      <c r="C1446" s="11" t="s">
        <v>20</v>
      </c>
      <c r="D1446" s="11" t="s">
        <v>33</v>
      </c>
      <c r="E1446" s="11" t="s">
        <v>48</v>
      </c>
      <c r="F1446" s="11" t="s">
        <v>44</v>
      </c>
      <c r="G1446" s="11" t="n">
        <v>4</v>
      </c>
      <c r="H1446" s="21" t="n">
        <v>520</v>
      </c>
      <c r="I1446" s="21" t="n">
        <v>415</v>
      </c>
      <c r="J1446" s="22" t="n">
        <v>0</v>
      </c>
      <c r="K1446" s="21" t="n">
        <f aca="false">G1446*H1446*(1-J1446)</f>
        <v>2080</v>
      </c>
      <c r="L1446" s="21" t="n">
        <f aca="false">G1446*I1446</f>
        <v>1660</v>
      </c>
      <c r="M1446" s="21" t="n">
        <f aca="false">K1446-L1446</f>
        <v>420</v>
      </c>
      <c r="N1446" s="11" t="str">
        <f aca="false">TEXT(B1446,"mmm")</f>
        <v>Dec</v>
      </c>
    </row>
    <row r="1447" customFormat="false" ht="15" hidden="false" customHeight="false" outlineLevel="0" collapsed="false">
      <c r="A1447" s="11" t="s">
        <v>1508</v>
      </c>
      <c r="B1447" s="20" t="n">
        <v>46011</v>
      </c>
      <c r="C1447" s="11" t="s">
        <v>22</v>
      </c>
      <c r="D1447" s="11" t="s">
        <v>33</v>
      </c>
      <c r="E1447" s="11" t="s">
        <v>51</v>
      </c>
      <c r="F1447" s="11" t="s">
        <v>44</v>
      </c>
      <c r="G1447" s="11" t="n">
        <v>1</v>
      </c>
      <c r="H1447" s="21" t="n">
        <v>90</v>
      </c>
      <c r="I1447" s="21" t="n">
        <v>58</v>
      </c>
      <c r="J1447" s="22" t="n">
        <v>0</v>
      </c>
      <c r="K1447" s="21" t="n">
        <f aca="false">G1447*H1447*(1-J1447)</f>
        <v>90</v>
      </c>
      <c r="L1447" s="21" t="n">
        <f aca="false">G1447*I1447</f>
        <v>58</v>
      </c>
      <c r="M1447" s="21" t="n">
        <f aca="false">K1447-L1447</f>
        <v>32</v>
      </c>
      <c r="N1447" s="11" t="str">
        <f aca="false">TEXT(B1447,"mmm")</f>
        <v>Dec</v>
      </c>
    </row>
    <row r="1448" customFormat="false" ht="15" hidden="false" customHeight="false" outlineLevel="0" collapsed="false">
      <c r="A1448" s="11" t="s">
        <v>1509</v>
      </c>
      <c r="B1448" s="20" t="n">
        <v>46011</v>
      </c>
      <c r="C1448" s="11" t="s">
        <v>22</v>
      </c>
      <c r="D1448" s="11" t="s">
        <v>33</v>
      </c>
      <c r="E1448" s="11" t="s">
        <v>50</v>
      </c>
      <c r="F1448" s="11" t="s">
        <v>45</v>
      </c>
      <c r="G1448" s="11" t="n">
        <v>3</v>
      </c>
      <c r="H1448" s="21" t="n">
        <v>780</v>
      </c>
      <c r="I1448" s="21" t="n">
        <v>600</v>
      </c>
      <c r="J1448" s="22" t="n">
        <v>0.15</v>
      </c>
      <c r="K1448" s="21" t="n">
        <f aca="false">G1448*H1448*(1-J1448)</f>
        <v>1989</v>
      </c>
      <c r="L1448" s="21" t="n">
        <f aca="false">G1448*I1448</f>
        <v>1800</v>
      </c>
      <c r="M1448" s="21" t="n">
        <f aca="false">K1448-L1448</f>
        <v>189</v>
      </c>
      <c r="N1448" s="11" t="str">
        <f aca="false">TEXT(B1448,"mmm")</f>
        <v>Dec</v>
      </c>
    </row>
    <row r="1449" customFormat="false" ht="15" hidden="false" customHeight="false" outlineLevel="0" collapsed="false">
      <c r="A1449" s="11" t="s">
        <v>1510</v>
      </c>
      <c r="B1449" s="20" t="n">
        <v>46011</v>
      </c>
      <c r="C1449" s="11" t="s">
        <v>22</v>
      </c>
      <c r="D1449" s="11" t="s">
        <v>33</v>
      </c>
      <c r="E1449" s="11" t="s">
        <v>50</v>
      </c>
      <c r="F1449" s="11" t="s">
        <v>42</v>
      </c>
      <c r="G1449" s="11" t="n">
        <v>3</v>
      </c>
      <c r="H1449" s="21" t="n">
        <v>780</v>
      </c>
      <c r="I1449" s="21" t="n">
        <v>600</v>
      </c>
      <c r="J1449" s="22" t="n">
        <v>0.15</v>
      </c>
      <c r="K1449" s="21" t="n">
        <f aca="false">G1449*H1449*(1-J1449)</f>
        <v>1989</v>
      </c>
      <c r="L1449" s="21" t="n">
        <f aca="false">G1449*I1449</f>
        <v>1800</v>
      </c>
      <c r="M1449" s="21" t="n">
        <f aca="false">K1449-L1449</f>
        <v>189</v>
      </c>
      <c r="N1449" s="11" t="str">
        <f aca="false">TEXT(B1449,"mmm")</f>
        <v>Dec</v>
      </c>
    </row>
    <row r="1450" customFormat="false" ht="15" hidden="false" customHeight="false" outlineLevel="0" collapsed="false">
      <c r="A1450" s="11" t="s">
        <v>1511</v>
      </c>
      <c r="B1450" s="20" t="n">
        <v>46011</v>
      </c>
      <c r="C1450" s="11" t="s">
        <v>22</v>
      </c>
      <c r="D1450" s="11" t="s">
        <v>37</v>
      </c>
      <c r="E1450" s="11" t="s">
        <v>53</v>
      </c>
      <c r="F1450" s="11" t="s">
        <v>44</v>
      </c>
      <c r="G1450" s="11" t="n">
        <v>29</v>
      </c>
      <c r="H1450" s="21" t="n">
        <v>9</v>
      </c>
      <c r="I1450" s="21" t="n">
        <v>4.5</v>
      </c>
      <c r="J1450" s="22" t="n">
        <v>0.05</v>
      </c>
      <c r="K1450" s="21" t="n">
        <f aca="false">G1450*H1450*(1-J1450)</f>
        <v>247.95</v>
      </c>
      <c r="L1450" s="21" t="n">
        <f aca="false">G1450*I1450</f>
        <v>130.5</v>
      </c>
      <c r="M1450" s="21" t="n">
        <f aca="false">K1450-L1450</f>
        <v>117.45</v>
      </c>
      <c r="N1450" s="11" t="str">
        <f aca="false">TEXT(B1450,"mmm")</f>
        <v>Dec</v>
      </c>
    </row>
    <row r="1451" customFormat="false" ht="15" hidden="false" customHeight="false" outlineLevel="0" collapsed="false">
      <c r="A1451" s="11" t="s">
        <v>1512</v>
      </c>
      <c r="B1451" s="20" t="n">
        <v>46011</v>
      </c>
      <c r="C1451" s="11" t="s">
        <v>20</v>
      </c>
      <c r="D1451" s="11" t="s">
        <v>35</v>
      </c>
      <c r="E1451" s="11" t="s">
        <v>55</v>
      </c>
      <c r="F1451" s="11" t="s">
        <v>44</v>
      </c>
      <c r="G1451" s="11" t="n">
        <v>2</v>
      </c>
      <c r="H1451" s="21" t="n">
        <v>150</v>
      </c>
      <c r="I1451" s="21" t="n">
        <v>82</v>
      </c>
      <c r="J1451" s="22" t="n">
        <v>0</v>
      </c>
      <c r="K1451" s="21" t="n">
        <f aca="false">G1451*H1451*(1-J1451)</f>
        <v>300</v>
      </c>
      <c r="L1451" s="21" t="n">
        <f aca="false">G1451*I1451</f>
        <v>164</v>
      </c>
      <c r="M1451" s="21" t="n">
        <f aca="false">K1451-L1451</f>
        <v>136</v>
      </c>
      <c r="N1451" s="11" t="str">
        <f aca="false">TEXT(B1451,"mmm")</f>
        <v>Dec</v>
      </c>
    </row>
    <row r="1452" customFormat="false" ht="15" hidden="false" customHeight="false" outlineLevel="0" collapsed="false">
      <c r="A1452" s="11" t="s">
        <v>1513</v>
      </c>
      <c r="B1452" s="20" t="n">
        <v>46011</v>
      </c>
      <c r="C1452" s="11" t="s">
        <v>20</v>
      </c>
      <c r="D1452" s="11" t="s">
        <v>33</v>
      </c>
      <c r="E1452" s="11" t="s">
        <v>48</v>
      </c>
      <c r="F1452" s="11" t="s">
        <v>42</v>
      </c>
      <c r="G1452" s="11" t="n">
        <v>1</v>
      </c>
      <c r="H1452" s="21" t="n">
        <v>520</v>
      </c>
      <c r="I1452" s="21" t="n">
        <v>415</v>
      </c>
      <c r="J1452" s="22" t="n">
        <v>0</v>
      </c>
      <c r="K1452" s="21" t="n">
        <f aca="false">G1452*H1452*(1-J1452)</f>
        <v>520</v>
      </c>
      <c r="L1452" s="21" t="n">
        <f aca="false">G1452*I1452</f>
        <v>415</v>
      </c>
      <c r="M1452" s="21" t="n">
        <f aca="false">K1452-L1452</f>
        <v>105</v>
      </c>
      <c r="N1452" s="11" t="str">
        <f aca="false">TEXT(B1452,"mmm")</f>
        <v>Dec</v>
      </c>
    </row>
    <row r="1453" customFormat="false" ht="15" hidden="false" customHeight="false" outlineLevel="0" collapsed="false">
      <c r="A1453" s="11" t="s">
        <v>1514</v>
      </c>
      <c r="B1453" s="20" t="n">
        <v>46012</v>
      </c>
      <c r="C1453" s="11" t="s">
        <v>20</v>
      </c>
      <c r="D1453" s="11" t="s">
        <v>37</v>
      </c>
      <c r="E1453" s="11" t="s">
        <v>49</v>
      </c>
      <c r="F1453" s="11" t="s">
        <v>44</v>
      </c>
      <c r="G1453" s="11" t="n">
        <v>7</v>
      </c>
      <c r="H1453" s="21" t="n">
        <v>28</v>
      </c>
      <c r="I1453" s="21" t="n">
        <v>17</v>
      </c>
      <c r="J1453" s="22" t="n">
        <v>0.1</v>
      </c>
      <c r="K1453" s="21" t="n">
        <f aca="false">G1453*H1453*(1-J1453)</f>
        <v>176.4</v>
      </c>
      <c r="L1453" s="21" t="n">
        <f aca="false">G1453*I1453</f>
        <v>119</v>
      </c>
      <c r="M1453" s="21" t="n">
        <f aca="false">K1453-L1453</f>
        <v>57.4</v>
      </c>
      <c r="N1453" s="11" t="str">
        <f aca="false">TEXT(B1453,"mmm")</f>
        <v>Dec</v>
      </c>
    </row>
    <row r="1454" customFormat="false" ht="15" hidden="false" customHeight="false" outlineLevel="0" collapsed="false">
      <c r="A1454" s="11" t="s">
        <v>1515</v>
      </c>
      <c r="B1454" s="20" t="n">
        <v>46012</v>
      </c>
      <c r="C1454" s="11" t="s">
        <v>18</v>
      </c>
      <c r="D1454" s="11" t="s">
        <v>33</v>
      </c>
      <c r="E1454" s="11" t="s">
        <v>50</v>
      </c>
      <c r="F1454" s="11" t="s">
        <v>44</v>
      </c>
      <c r="G1454" s="11" t="n">
        <v>2</v>
      </c>
      <c r="H1454" s="21" t="n">
        <v>780</v>
      </c>
      <c r="I1454" s="21" t="n">
        <v>600</v>
      </c>
      <c r="J1454" s="22" t="n">
        <v>0.05</v>
      </c>
      <c r="K1454" s="21" t="n">
        <f aca="false">G1454*H1454*(1-J1454)</f>
        <v>1482</v>
      </c>
      <c r="L1454" s="21" t="n">
        <f aca="false">G1454*I1454</f>
        <v>1200</v>
      </c>
      <c r="M1454" s="21" t="n">
        <f aca="false">K1454-L1454</f>
        <v>282</v>
      </c>
      <c r="N1454" s="11" t="str">
        <f aca="false">TEXT(B1454,"mmm")</f>
        <v>Dec</v>
      </c>
    </row>
    <row r="1455" customFormat="false" ht="15" hidden="false" customHeight="false" outlineLevel="0" collapsed="false">
      <c r="A1455" s="11" t="s">
        <v>1516</v>
      </c>
      <c r="B1455" s="20" t="n">
        <v>46012</v>
      </c>
      <c r="C1455" s="11" t="s">
        <v>18</v>
      </c>
      <c r="D1455" s="11" t="s">
        <v>35</v>
      </c>
      <c r="E1455" s="11" t="s">
        <v>56</v>
      </c>
      <c r="F1455" s="11" t="s">
        <v>44</v>
      </c>
      <c r="G1455" s="11" t="n">
        <v>2</v>
      </c>
      <c r="H1455" s="21" t="n">
        <v>110</v>
      </c>
      <c r="I1455" s="21" t="n">
        <v>62</v>
      </c>
      <c r="J1455" s="22" t="n">
        <v>0.1</v>
      </c>
      <c r="K1455" s="21" t="n">
        <f aca="false">G1455*H1455*(1-J1455)</f>
        <v>198</v>
      </c>
      <c r="L1455" s="21" t="n">
        <f aca="false">G1455*I1455</f>
        <v>124</v>
      </c>
      <c r="M1455" s="21" t="n">
        <f aca="false">K1455-L1455</f>
        <v>74</v>
      </c>
      <c r="N1455" s="11" t="str">
        <f aca="false">TEXT(B1455,"mmm")</f>
        <v>Dec</v>
      </c>
    </row>
    <row r="1456" customFormat="false" ht="15" hidden="false" customHeight="false" outlineLevel="0" collapsed="false">
      <c r="A1456" s="11" t="s">
        <v>1517</v>
      </c>
      <c r="B1456" s="20" t="n">
        <v>46012</v>
      </c>
      <c r="C1456" s="11" t="s">
        <v>18</v>
      </c>
      <c r="D1456" s="11" t="s">
        <v>37</v>
      </c>
      <c r="E1456" s="11" t="s">
        <v>49</v>
      </c>
      <c r="F1456" s="11" t="s">
        <v>42</v>
      </c>
      <c r="G1456" s="11" t="n">
        <v>16</v>
      </c>
      <c r="H1456" s="21" t="n">
        <v>28</v>
      </c>
      <c r="I1456" s="21" t="n">
        <v>17</v>
      </c>
      <c r="J1456" s="22" t="n">
        <v>0.05</v>
      </c>
      <c r="K1456" s="21" t="n">
        <f aca="false">G1456*H1456*(1-J1456)</f>
        <v>425.6</v>
      </c>
      <c r="L1456" s="21" t="n">
        <f aca="false">G1456*I1456</f>
        <v>272</v>
      </c>
      <c r="M1456" s="21" t="n">
        <f aca="false">K1456-L1456</f>
        <v>153.6</v>
      </c>
      <c r="N1456" s="11" t="str">
        <f aca="false">TEXT(B1456,"mmm")</f>
        <v>Dec</v>
      </c>
    </row>
    <row r="1457" customFormat="false" ht="15" hidden="false" customHeight="false" outlineLevel="0" collapsed="false">
      <c r="A1457" s="11" t="s">
        <v>1518</v>
      </c>
      <c r="B1457" s="20" t="n">
        <v>46012</v>
      </c>
      <c r="C1457" s="11" t="s">
        <v>22</v>
      </c>
      <c r="D1457" s="11" t="s">
        <v>37</v>
      </c>
      <c r="E1457" s="11" t="s">
        <v>52</v>
      </c>
      <c r="F1457" s="11" t="s">
        <v>42</v>
      </c>
      <c r="G1457" s="11" t="n">
        <v>15</v>
      </c>
      <c r="H1457" s="21" t="n">
        <v>12</v>
      </c>
      <c r="I1457" s="21" t="n">
        <v>6</v>
      </c>
      <c r="J1457" s="22" t="n">
        <v>0.15</v>
      </c>
      <c r="K1457" s="21" t="n">
        <f aca="false">G1457*H1457*(1-J1457)</f>
        <v>153</v>
      </c>
      <c r="L1457" s="21" t="n">
        <f aca="false">G1457*I1457</f>
        <v>90</v>
      </c>
      <c r="M1457" s="21" t="n">
        <f aca="false">K1457-L1457</f>
        <v>63</v>
      </c>
      <c r="N1457" s="11" t="str">
        <f aca="false">TEXT(B1457,"mmm")</f>
        <v>Dec</v>
      </c>
    </row>
    <row r="1458" customFormat="false" ht="15" hidden="false" customHeight="false" outlineLevel="0" collapsed="false">
      <c r="A1458" s="11" t="s">
        <v>1519</v>
      </c>
      <c r="B1458" s="20" t="n">
        <v>46012</v>
      </c>
      <c r="C1458" s="11" t="s">
        <v>20</v>
      </c>
      <c r="D1458" s="11" t="s">
        <v>37</v>
      </c>
      <c r="E1458" s="11" t="s">
        <v>53</v>
      </c>
      <c r="F1458" s="11" t="s">
        <v>45</v>
      </c>
      <c r="G1458" s="11" t="n">
        <v>120</v>
      </c>
      <c r="H1458" s="21" t="n">
        <v>9</v>
      </c>
      <c r="I1458" s="21" t="n">
        <v>4.5</v>
      </c>
      <c r="J1458" s="22" t="n">
        <v>0.2</v>
      </c>
      <c r="K1458" s="21" t="n">
        <f aca="false">G1458*H1458*(1-J1458)</f>
        <v>864</v>
      </c>
      <c r="L1458" s="21" t="n">
        <f aca="false">G1458*I1458</f>
        <v>540</v>
      </c>
      <c r="M1458" s="21" t="n">
        <f aca="false">K1458-L1458</f>
        <v>324</v>
      </c>
      <c r="N1458" s="11" t="str">
        <f aca="false">TEXT(B1458,"mmm")</f>
        <v>Dec</v>
      </c>
    </row>
    <row r="1459" customFormat="false" ht="15" hidden="false" customHeight="false" outlineLevel="0" collapsed="false">
      <c r="A1459" s="11" t="s">
        <v>1520</v>
      </c>
      <c r="B1459" s="20" t="n">
        <v>46012</v>
      </c>
      <c r="C1459" s="11" t="s">
        <v>22</v>
      </c>
      <c r="D1459" s="11" t="s">
        <v>35</v>
      </c>
      <c r="E1459" s="11" t="s">
        <v>54</v>
      </c>
      <c r="F1459" s="11" t="s">
        <v>42</v>
      </c>
      <c r="G1459" s="11" t="n">
        <v>1</v>
      </c>
      <c r="H1459" s="21" t="n">
        <v>320</v>
      </c>
      <c r="I1459" s="21" t="n">
        <v>185</v>
      </c>
      <c r="J1459" s="22" t="n">
        <v>0</v>
      </c>
      <c r="K1459" s="21" t="n">
        <f aca="false">G1459*H1459*(1-J1459)</f>
        <v>320</v>
      </c>
      <c r="L1459" s="21" t="n">
        <f aca="false">G1459*I1459</f>
        <v>185</v>
      </c>
      <c r="M1459" s="21" t="n">
        <f aca="false">K1459-L1459</f>
        <v>135</v>
      </c>
      <c r="N1459" s="11" t="str">
        <f aca="false">TEXT(B1459,"mmm")</f>
        <v>Dec</v>
      </c>
    </row>
    <row r="1460" customFormat="false" ht="15" hidden="false" customHeight="false" outlineLevel="0" collapsed="false">
      <c r="A1460" s="11" t="s">
        <v>1521</v>
      </c>
      <c r="B1460" s="20" t="n">
        <v>46013</v>
      </c>
      <c r="C1460" s="11" t="s">
        <v>20</v>
      </c>
      <c r="D1460" s="11" t="s">
        <v>33</v>
      </c>
      <c r="E1460" s="11" t="s">
        <v>51</v>
      </c>
      <c r="F1460" s="11" t="s">
        <v>42</v>
      </c>
      <c r="G1460" s="11" t="n">
        <v>5</v>
      </c>
      <c r="H1460" s="21" t="n">
        <v>90</v>
      </c>
      <c r="I1460" s="21" t="n">
        <v>58</v>
      </c>
      <c r="J1460" s="22" t="n">
        <v>0.15</v>
      </c>
      <c r="K1460" s="21" t="n">
        <f aca="false">G1460*H1460*(1-J1460)</f>
        <v>382.5</v>
      </c>
      <c r="L1460" s="21" t="n">
        <f aca="false">G1460*I1460</f>
        <v>290</v>
      </c>
      <c r="M1460" s="21" t="n">
        <f aca="false">K1460-L1460</f>
        <v>92.5</v>
      </c>
      <c r="N1460" s="11" t="str">
        <f aca="false">TEXT(B1460,"mmm")</f>
        <v>Dec</v>
      </c>
    </row>
    <row r="1461" customFormat="false" ht="15" hidden="false" customHeight="false" outlineLevel="0" collapsed="false">
      <c r="A1461" s="11" t="s">
        <v>1522</v>
      </c>
      <c r="B1461" s="20" t="n">
        <v>46013</v>
      </c>
      <c r="C1461" s="11" t="s">
        <v>22</v>
      </c>
      <c r="D1461" s="11" t="s">
        <v>35</v>
      </c>
      <c r="E1461" s="11" t="s">
        <v>56</v>
      </c>
      <c r="F1461" s="11" t="s">
        <v>42</v>
      </c>
      <c r="G1461" s="11" t="n">
        <v>1</v>
      </c>
      <c r="H1461" s="21" t="n">
        <v>110</v>
      </c>
      <c r="I1461" s="21" t="n">
        <v>62</v>
      </c>
      <c r="J1461" s="22" t="n">
        <v>0.15</v>
      </c>
      <c r="K1461" s="21" t="n">
        <f aca="false">G1461*H1461*(1-J1461)</f>
        <v>93.5</v>
      </c>
      <c r="L1461" s="21" t="n">
        <f aca="false">G1461*I1461</f>
        <v>62</v>
      </c>
      <c r="M1461" s="21" t="n">
        <f aca="false">K1461-L1461</f>
        <v>31.5</v>
      </c>
      <c r="N1461" s="11" t="str">
        <f aca="false">TEXT(B1461,"mmm")</f>
        <v>Dec</v>
      </c>
    </row>
    <row r="1462" customFormat="false" ht="15" hidden="false" customHeight="false" outlineLevel="0" collapsed="false">
      <c r="A1462" s="11" t="s">
        <v>1523</v>
      </c>
      <c r="B1462" s="20" t="n">
        <v>46013</v>
      </c>
      <c r="C1462" s="11" t="s">
        <v>18</v>
      </c>
      <c r="D1462" s="11" t="s">
        <v>33</v>
      </c>
      <c r="E1462" s="11" t="s">
        <v>50</v>
      </c>
      <c r="F1462" s="11" t="s">
        <v>45</v>
      </c>
      <c r="G1462" s="11" t="n">
        <v>1</v>
      </c>
      <c r="H1462" s="21" t="n">
        <v>780</v>
      </c>
      <c r="I1462" s="21" t="n">
        <v>600</v>
      </c>
      <c r="J1462" s="22" t="n">
        <v>0.15</v>
      </c>
      <c r="K1462" s="21" t="n">
        <f aca="false">G1462*H1462*(1-J1462)</f>
        <v>663</v>
      </c>
      <c r="L1462" s="21" t="n">
        <f aca="false">G1462*I1462</f>
        <v>600</v>
      </c>
      <c r="M1462" s="21" t="n">
        <f aca="false">K1462-L1462</f>
        <v>63</v>
      </c>
      <c r="N1462" s="11" t="str">
        <f aca="false">TEXT(B1462,"mmm")</f>
        <v>Dec</v>
      </c>
    </row>
    <row r="1463" customFormat="false" ht="15" hidden="false" customHeight="false" outlineLevel="0" collapsed="false">
      <c r="A1463" s="11" t="s">
        <v>1524</v>
      </c>
      <c r="B1463" s="20" t="n">
        <v>46013</v>
      </c>
      <c r="C1463" s="11" t="s">
        <v>24</v>
      </c>
      <c r="D1463" s="11" t="s">
        <v>35</v>
      </c>
      <c r="E1463" s="11" t="s">
        <v>56</v>
      </c>
      <c r="F1463" s="11" t="s">
        <v>45</v>
      </c>
      <c r="G1463" s="11" t="n">
        <v>3</v>
      </c>
      <c r="H1463" s="21" t="n">
        <v>110</v>
      </c>
      <c r="I1463" s="21" t="n">
        <v>62</v>
      </c>
      <c r="J1463" s="22" t="n">
        <v>0.15</v>
      </c>
      <c r="K1463" s="21" t="n">
        <f aca="false">G1463*H1463*(1-J1463)</f>
        <v>280.5</v>
      </c>
      <c r="L1463" s="21" t="n">
        <f aca="false">G1463*I1463</f>
        <v>186</v>
      </c>
      <c r="M1463" s="21" t="n">
        <f aca="false">K1463-L1463</f>
        <v>94.5</v>
      </c>
      <c r="N1463" s="11" t="str">
        <f aca="false">TEXT(B1463,"mmm")</f>
        <v>Dec</v>
      </c>
    </row>
    <row r="1464" customFormat="false" ht="15" hidden="false" customHeight="false" outlineLevel="0" collapsed="false">
      <c r="A1464" s="11" t="s">
        <v>1525</v>
      </c>
      <c r="B1464" s="20" t="n">
        <v>46013</v>
      </c>
      <c r="C1464" s="11" t="s">
        <v>22</v>
      </c>
      <c r="D1464" s="11" t="s">
        <v>37</v>
      </c>
      <c r="E1464" s="11" t="s">
        <v>53</v>
      </c>
      <c r="F1464" s="11" t="s">
        <v>44</v>
      </c>
      <c r="G1464" s="11" t="n">
        <v>25</v>
      </c>
      <c r="H1464" s="21" t="n">
        <v>9</v>
      </c>
      <c r="I1464" s="21" t="n">
        <v>4.5</v>
      </c>
      <c r="J1464" s="22" t="n">
        <v>0</v>
      </c>
      <c r="K1464" s="21" t="n">
        <f aca="false">G1464*H1464*(1-J1464)</f>
        <v>225</v>
      </c>
      <c r="L1464" s="21" t="n">
        <f aca="false">G1464*I1464</f>
        <v>112.5</v>
      </c>
      <c r="M1464" s="21" t="n">
        <f aca="false">K1464-L1464</f>
        <v>112.5</v>
      </c>
      <c r="N1464" s="11" t="str">
        <f aca="false">TEXT(B1464,"mmm")</f>
        <v>Dec</v>
      </c>
    </row>
    <row r="1465" customFormat="false" ht="15" hidden="false" customHeight="false" outlineLevel="0" collapsed="false">
      <c r="A1465" s="11" t="s">
        <v>1526</v>
      </c>
      <c r="B1465" s="20" t="n">
        <v>46013</v>
      </c>
      <c r="C1465" s="11" t="s">
        <v>24</v>
      </c>
      <c r="D1465" s="11" t="s">
        <v>37</v>
      </c>
      <c r="E1465" s="11" t="s">
        <v>53</v>
      </c>
      <c r="F1465" s="11" t="s">
        <v>44</v>
      </c>
      <c r="G1465" s="11" t="n">
        <v>12</v>
      </c>
      <c r="H1465" s="21" t="n">
        <v>9</v>
      </c>
      <c r="I1465" s="21" t="n">
        <v>4.5</v>
      </c>
      <c r="J1465" s="22" t="n">
        <v>0</v>
      </c>
      <c r="K1465" s="21" t="n">
        <f aca="false">G1465*H1465*(1-J1465)</f>
        <v>108</v>
      </c>
      <c r="L1465" s="21" t="n">
        <f aca="false">G1465*I1465</f>
        <v>54</v>
      </c>
      <c r="M1465" s="21" t="n">
        <f aca="false">K1465-L1465</f>
        <v>54</v>
      </c>
      <c r="N1465" s="11" t="str">
        <f aca="false">TEXT(B1465,"mmm")</f>
        <v>Dec</v>
      </c>
    </row>
    <row r="1466" customFormat="false" ht="15" hidden="false" customHeight="false" outlineLevel="0" collapsed="false">
      <c r="A1466" s="11" t="s">
        <v>1527</v>
      </c>
      <c r="B1466" s="20" t="n">
        <v>46014</v>
      </c>
      <c r="C1466" s="11" t="s">
        <v>18</v>
      </c>
      <c r="D1466" s="11" t="s">
        <v>35</v>
      </c>
      <c r="E1466" s="11" t="s">
        <v>56</v>
      </c>
      <c r="F1466" s="11" t="s">
        <v>42</v>
      </c>
      <c r="G1466" s="11" t="n">
        <v>3</v>
      </c>
      <c r="H1466" s="21" t="n">
        <v>110</v>
      </c>
      <c r="I1466" s="21" t="n">
        <v>62</v>
      </c>
      <c r="J1466" s="22" t="n">
        <v>0.15</v>
      </c>
      <c r="K1466" s="21" t="n">
        <f aca="false">G1466*H1466*(1-J1466)</f>
        <v>280.5</v>
      </c>
      <c r="L1466" s="21" t="n">
        <f aca="false">G1466*I1466</f>
        <v>186</v>
      </c>
      <c r="M1466" s="21" t="n">
        <f aca="false">K1466-L1466</f>
        <v>94.5</v>
      </c>
      <c r="N1466" s="11" t="str">
        <f aca="false">TEXT(B1466,"mmm")</f>
        <v>Dec</v>
      </c>
    </row>
    <row r="1467" customFormat="false" ht="15" hidden="false" customHeight="false" outlineLevel="0" collapsed="false">
      <c r="A1467" s="11" t="s">
        <v>1528</v>
      </c>
      <c r="B1467" s="20" t="n">
        <v>46014</v>
      </c>
      <c r="C1467" s="11" t="s">
        <v>18</v>
      </c>
      <c r="D1467" s="11" t="s">
        <v>35</v>
      </c>
      <c r="E1467" s="11" t="s">
        <v>56</v>
      </c>
      <c r="F1467" s="11" t="s">
        <v>44</v>
      </c>
      <c r="G1467" s="11" t="n">
        <v>2</v>
      </c>
      <c r="H1467" s="21" t="n">
        <v>110</v>
      </c>
      <c r="I1467" s="21" t="n">
        <v>62</v>
      </c>
      <c r="J1467" s="22" t="n">
        <v>0</v>
      </c>
      <c r="K1467" s="21" t="n">
        <f aca="false">G1467*H1467*(1-J1467)</f>
        <v>220</v>
      </c>
      <c r="L1467" s="21" t="n">
        <f aca="false">G1467*I1467</f>
        <v>124</v>
      </c>
      <c r="M1467" s="21" t="n">
        <f aca="false">K1467-L1467</f>
        <v>96</v>
      </c>
      <c r="N1467" s="11" t="str">
        <f aca="false">TEXT(B1467,"mmm")</f>
        <v>Dec</v>
      </c>
    </row>
    <row r="1468" customFormat="false" ht="15" hidden="false" customHeight="false" outlineLevel="0" collapsed="false">
      <c r="A1468" s="11" t="s">
        <v>1529</v>
      </c>
      <c r="B1468" s="20" t="n">
        <v>46014</v>
      </c>
      <c r="C1468" s="11" t="s">
        <v>22</v>
      </c>
      <c r="D1468" s="11" t="s">
        <v>37</v>
      </c>
      <c r="E1468" s="11" t="s">
        <v>49</v>
      </c>
      <c r="F1468" s="11" t="s">
        <v>42</v>
      </c>
      <c r="G1468" s="11" t="n">
        <v>39</v>
      </c>
      <c r="H1468" s="21" t="n">
        <v>28</v>
      </c>
      <c r="I1468" s="21" t="n">
        <v>17</v>
      </c>
      <c r="J1468" s="22" t="n">
        <v>0</v>
      </c>
      <c r="K1468" s="21" t="n">
        <f aca="false">G1468*H1468*(1-J1468)</f>
        <v>1092</v>
      </c>
      <c r="L1468" s="21" t="n">
        <f aca="false">G1468*I1468</f>
        <v>663</v>
      </c>
      <c r="M1468" s="21" t="n">
        <f aca="false">K1468-L1468</f>
        <v>429</v>
      </c>
      <c r="N1468" s="11" t="str">
        <f aca="false">TEXT(B1468,"mmm")</f>
        <v>Dec</v>
      </c>
    </row>
    <row r="1469" customFormat="false" ht="15" hidden="false" customHeight="false" outlineLevel="0" collapsed="false">
      <c r="A1469" s="11" t="s">
        <v>1530</v>
      </c>
      <c r="B1469" s="20" t="n">
        <v>46014</v>
      </c>
      <c r="C1469" s="11" t="s">
        <v>24</v>
      </c>
      <c r="D1469" s="11" t="s">
        <v>35</v>
      </c>
      <c r="E1469" s="11" t="s">
        <v>55</v>
      </c>
      <c r="F1469" s="11" t="s">
        <v>42</v>
      </c>
      <c r="G1469" s="11" t="n">
        <v>1</v>
      </c>
      <c r="H1469" s="21" t="n">
        <v>150</v>
      </c>
      <c r="I1469" s="21" t="n">
        <v>82</v>
      </c>
      <c r="J1469" s="22" t="n">
        <v>0.05</v>
      </c>
      <c r="K1469" s="21" t="n">
        <f aca="false">G1469*H1469*(1-J1469)</f>
        <v>142.5</v>
      </c>
      <c r="L1469" s="21" t="n">
        <f aca="false">G1469*I1469</f>
        <v>82</v>
      </c>
      <c r="M1469" s="21" t="n">
        <f aca="false">K1469-L1469</f>
        <v>60.5</v>
      </c>
      <c r="N1469" s="11" t="str">
        <f aca="false">TEXT(B1469,"mmm")</f>
        <v>Dec</v>
      </c>
    </row>
    <row r="1470" customFormat="false" ht="15" hidden="false" customHeight="false" outlineLevel="0" collapsed="false">
      <c r="A1470" s="11" t="s">
        <v>1531</v>
      </c>
      <c r="B1470" s="20" t="n">
        <v>46014</v>
      </c>
      <c r="C1470" s="11" t="s">
        <v>20</v>
      </c>
      <c r="D1470" s="11" t="s">
        <v>37</v>
      </c>
      <c r="E1470" s="11" t="s">
        <v>52</v>
      </c>
      <c r="F1470" s="11" t="s">
        <v>42</v>
      </c>
      <c r="G1470" s="11" t="n">
        <v>23</v>
      </c>
      <c r="H1470" s="21" t="n">
        <v>12</v>
      </c>
      <c r="I1470" s="21" t="n">
        <v>6</v>
      </c>
      <c r="J1470" s="22" t="n">
        <v>0</v>
      </c>
      <c r="K1470" s="21" t="n">
        <f aca="false">G1470*H1470*(1-J1470)</f>
        <v>276</v>
      </c>
      <c r="L1470" s="21" t="n">
        <f aca="false">G1470*I1470</f>
        <v>138</v>
      </c>
      <c r="M1470" s="21" t="n">
        <f aca="false">K1470-L1470</f>
        <v>138</v>
      </c>
      <c r="N1470" s="11" t="str">
        <f aca="false">TEXT(B1470,"mmm")</f>
        <v>Dec</v>
      </c>
    </row>
    <row r="1471" customFormat="false" ht="15" hidden="false" customHeight="false" outlineLevel="0" collapsed="false">
      <c r="A1471" s="11" t="s">
        <v>1532</v>
      </c>
      <c r="B1471" s="20" t="n">
        <v>46014</v>
      </c>
      <c r="C1471" s="11" t="s">
        <v>20</v>
      </c>
      <c r="D1471" s="11" t="s">
        <v>33</v>
      </c>
      <c r="E1471" s="11" t="s">
        <v>48</v>
      </c>
      <c r="F1471" s="11" t="s">
        <v>42</v>
      </c>
      <c r="G1471" s="11" t="n">
        <v>1</v>
      </c>
      <c r="H1471" s="21" t="n">
        <v>520</v>
      </c>
      <c r="I1471" s="21" t="n">
        <v>415</v>
      </c>
      <c r="J1471" s="22" t="n">
        <v>0.05</v>
      </c>
      <c r="K1471" s="21" t="n">
        <f aca="false">G1471*H1471*(1-J1471)</f>
        <v>494</v>
      </c>
      <c r="L1471" s="21" t="n">
        <f aca="false">G1471*I1471</f>
        <v>415</v>
      </c>
      <c r="M1471" s="21" t="n">
        <f aca="false">K1471-L1471</f>
        <v>79</v>
      </c>
      <c r="N1471" s="11" t="str">
        <f aca="false">TEXT(B1471,"mmm")</f>
        <v>Dec</v>
      </c>
    </row>
    <row r="1472" customFormat="false" ht="15" hidden="false" customHeight="false" outlineLevel="0" collapsed="false">
      <c r="A1472" s="11" t="s">
        <v>1533</v>
      </c>
      <c r="B1472" s="20" t="n">
        <v>46014</v>
      </c>
      <c r="C1472" s="11" t="s">
        <v>20</v>
      </c>
      <c r="D1472" s="11" t="s">
        <v>33</v>
      </c>
      <c r="E1472" s="11" t="s">
        <v>48</v>
      </c>
      <c r="F1472" s="11" t="s">
        <v>44</v>
      </c>
      <c r="G1472" s="11" t="n">
        <v>1</v>
      </c>
      <c r="H1472" s="21" t="n">
        <v>520</v>
      </c>
      <c r="I1472" s="21" t="n">
        <v>415</v>
      </c>
      <c r="J1472" s="22" t="n">
        <v>0.05</v>
      </c>
      <c r="K1472" s="21" t="n">
        <f aca="false">G1472*H1472*(1-J1472)</f>
        <v>494</v>
      </c>
      <c r="L1472" s="21" t="n">
        <f aca="false">G1472*I1472</f>
        <v>415</v>
      </c>
      <c r="M1472" s="21" t="n">
        <f aca="false">K1472-L1472</f>
        <v>79</v>
      </c>
      <c r="N1472" s="11" t="str">
        <f aca="false">TEXT(B1472,"mmm")</f>
        <v>Dec</v>
      </c>
    </row>
    <row r="1473" customFormat="false" ht="15" hidden="false" customHeight="false" outlineLevel="0" collapsed="false">
      <c r="A1473" s="11" t="s">
        <v>1534</v>
      </c>
      <c r="B1473" s="20" t="n">
        <v>46014</v>
      </c>
      <c r="C1473" s="11" t="s">
        <v>20</v>
      </c>
      <c r="D1473" s="11" t="s">
        <v>33</v>
      </c>
      <c r="E1473" s="11" t="s">
        <v>50</v>
      </c>
      <c r="F1473" s="11" t="s">
        <v>42</v>
      </c>
      <c r="G1473" s="11" t="n">
        <v>1</v>
      </c>
      <c r="H1473" s="21" t="n">
        <v>780</v>
      </c>
      <c r="I1473" s="21" t="n">
        <v>600</v>
      </c>
      <c r="J1473" s="22" t="n">
        <v>0</v>
      </c>
      <c r="K1473" s="21" t="n">
        <f aca="false">G1473*H1473*(1-J1473)</f>
        <v>780</v>
      </c>
      <c r="L1473" s="21" t="n">
        <f aca="false">G1473*I1473</f>
        <v>600</v>
      </c>
      <c r="M1473" s="21" t="n">
        <f aca="false">K1473-L1473</f>
        <v>180</v>
      </c>
      <c r="N1473" s="11" t="str">
        <f aca="false">TEXT(B1473,"mmm")</f>
        <v>Dec</v>
      </c>
    </row>
    <row r="1474" customFormat="false" ht="15" hidden="false" customHeight="false" outlineLevel="0" collapsed="false">
      <c r="A1474" s="11" t="s">
        <v>1535</v>
      </c>
      <c r="B1474" s="20" t="n">
        <v>46015</v>
      </c>
      <c r="C1474" s="11" t="s">
        <v>24</v>
      </c>
      <c r="D1474" s="11" t="s">
        <v>35</v>
      </c>
      <c r="E1474" s="11" t="s">
        <v>56</v>
      </c>
      <c r="F1474" s="11" t="s">
        <v>44</v>
      </c>
      <c r="G1474" s="11" t="n">
        <v>4</v>
      </c>
      <c r="H1474" s="21" t="n">
        <v>110</v>
      </c>
      <c r="I1474" s="21" t="n">
        <v>62</v>
      </c>
      <c r="J1474" s="22" t="n">
        <v>0.05</v>
      </c>
      <c r="K1474" s="21" t="n">
        <f aca="false">G1474*H1474*(1-J1474)</f>
        <v>418</v>
      </c>
      <c r="L1474" s="21" t="n">
        <f aca="false">G1474*I1474</f>
        <v>248</v>
      </c>
      <c r="M1474" s="21" t="n">
        <f aca="false">K1474-L1474</f>
        <v>170</v>
      </c>
      <c r="N1474" s="11" t="str">
        <f aca="false">TEXT(B1474,"mmm")</f>
        <v>Dec</v>
      </c>
    </row>
    <row r="1475" customFormat="false" ht="15" hidden="false" customHeight="false" outlineLevel="0" collapsed="false">
      <c r="A1475" s="11" t="s">
        <v>1536</v>
      </c>
      <c r="B1475" s="20" t="n">
        <v>46015</v>
      </c>
      <c r="C1475" s="11" t="s">
        <v>22</v>
      </c>
      <c r="D1475" s="11" t="s">
        <v>33</v>
      </c>
      <c r="E1475" s="11" t="s">
        <v>51</v>
      </c>
      <c r="F1475" s="11" t="s">
        <v>42</v>
      </c>
      <c r="G1475" s="11" t="n">
        <v>6</v>
      </c>
      <c r="H1475" s="21" t="n">
        <v>90</v>
      </c>
      <c r="I1475" s="21" t="n">
        <v>58</v>
      </c>
      <c r="J1475" s="22" t="n">
        <v>0.05</v>
      </c>
      <c r="K1475" s="21" t="n">
        <f aca="false">G1475*H1475*(1-J1475)</f>
        <v>513</v>
      </c>
      <c r="L1475" s="21" t="n">
        <f aca="false">G1475*I1475</f>
        <v>348</v>
      </c>
      <c r="M1475" s="21" t="n">
        <f aca="false">K1475-L1475</f>
        <v>165</v>
      </c>
      <c r="N1475" s="11" t="str">
        <f aca="false">TEXT(B1475,"mmm")</f>
        <v>Dec</v>
      </c>
    </row>
    <row r="1476" customFormat="false" ht="15" hidden="false" customHeight="false" outlineLevel="0" collapsed="false">
      <c r="A1476" s="11" t="s">
        <v>1537</v>
      </c>
      <c r="B1476" s="20" t="n">
        <v>46015</v>
      </c>
      <c r="C1476" s="11" t="s">
        <v>22</v>
      </c>
      <c r="D1476" s="11" t="s">
        <v>35</v>
      </c>
      <c r="E1476" s="11" t="s">
        <v>54</v>
      </c>
      <c r="F1476" s="11" t="s">
        <v>45</v>
      </c>
      <c r="G1476" s="11" t="n">
        <v>1</v>
      </c>
      <c r="H1476" s="21" t="n">
        <v>320</v>
      </c>
      <c r="I1476" s="21" t="n">
        <v>185</v>
      </c>
      <c r="J1476" s="22" t="n">
        <v>0.2</v>
      </c>
      <c r="K1476" s="21" t="n">
        <f aca="false">G1476*H1476*(1-J1476)</f>
        <v>256</v>
      </c>
      <c r="L1476" s="21" t="n">
        <f aca="false">G1476*I1476</f>
        <v>185</v>
      </c>
      <c r="M1476" s="21" t="n">
        <f aca="false">K1476-L1476</f>
        <v>71</v>
      </c>
      <c r="N1476" s="11" t="str">
        <f aca="false">TEXT(B1476,"mmm")</f>
        <v>Dec</v>
      </c>
    </row>
    <row r="1477" customFormat="false" ht="15" hidden="false" customHeight="false" outlineLevel="0" collapsed="false">
      <c r="A1477" s="11" t="s">
        <v>1538</v>
      </c>
      <c r="B1477" s="20" t="n">
        <v>46015</v>
      </c>
      <c r="C1477" s="11" t="s">
        <v>24</v>
      </c>
      <c r="D1477" s="11" t="s">
        <v>37</v>
      </c>
      <c r="E1477" s="11" t="s">
        <v>49</v>
      </c>
      <c r="F1477" s="11" t="s">
        <v>42</v>
      </c>
      <c r="G1477" s="11" t="n">
        <v>40</v>
      </c>
      <c r="H1477" s="21" t="n">
        <v>28</v>
      </c>
      <c r="I1477" s="21" t="n">
        <v>17</v>
      </c>
      <c r="J1477" s="22" t="n">
        <v>0.15</v>
      </c>
      <c r="K1477" s="21" t="n">
        <f aca="false">G1477*H1477*(1-J1477)</f>
        <v>952</v>
      </c>
      <c r="L1477" s="21" t="n">
        <f aca="false">G1477*I1477</f>
        <v>680</v>
      </c>
      <c r="M1477" s="21" t="n">
        <f aca="false">K1477-L1477</f>
        <v>272</v>
      </c>
      <c r="N1477" s="11" t="str">
        <f aca="false">TEXT(B1477,"mmm")</f>
        <v>Dec</v>
      </c>
    </row>
    <row r="1478" customFormat="false" ht="15" hidden="false" customHeight="false" outlineLevel="0" collapsed="false">
      <c r="A1478" s="11" t="s">
        <v>1539</v>
      </c>
      <c r="B1478" s="20" t="n">
        <v>46015</v>
      </c>
      <c r="C1478" s="11" t="s">
        <v>18</v>
      </c>
      <c r="D1478" s="11" t="s">
        <v>33</v>
      </c>
      <c r="E1478" s="11" t="s">
        <v>48</v>
      </c>
      <c r="F1478" s="11" t="s">
        <v>42</v>
      </c>
      <c r="G1478" s="11" t="n">
        <v>1</v>
      </c>
      <c r="H1478" s="21" t="n">
        <v>520</v>
      </c>
      <c r="I1478" s="21" t="n">
        <v>415</v>
      </c>
      <c r="J1478" s="22" t="n">
        <v>0.05</v>
      </c>
      <c r="K1478" s="21" t="n">
        <f aca="false">G1478*H1478*(1-J1478)</f>
        <v>494</v>
      </c>
      <c r="L1478" s="21" t="n">
        <f aca="false">G1478*I1478</f>
        <v>415</v>
      </c>
      <c r="M1478" s="21" t="n">
        <f aca="false">K1478-L1478</f>
        <v>79</v>
      </c>
      <c r="N1478" s="11" t="str">
        <f aca="false">TEXT(B1478,"mmm")</f>
        <v>Dec</v>
      </c>
    </row>
    <row r="1479" customFormat="false" ht="15" hidden="false" customHeight="false" outlineLevel="0" collapsed="false">
      <c r="A1479" s="11" t="s">
        <v>1540</v>
      </c>
      <c r="B1479" s="20" t="n">
        <v>46015</v>
      </c>
      <c r="C1479" s="11" t="s">
        <v>18</v>
      </c>
      <c r="D1479" s="11" t="s">
        <v>33</v>
      </c>
      <c r="E1479" s="11" t="s">
        <v>51</v>
      </c>
      <c r="F1479" s="11" t="s">
        <v>45</v>
      </c>
      <c r="G1479" s="11" t="n">
        <v>6</v>
      </c>
      <c r="H1479" s="21" t="n">
        <v>90</v>
      </c>
      <c r="I1479" s="21" t="n">
        <v>58</v>
      </c>
      <c r="J1479" s="22" t="n">
        <v>0.1</v>
      </c>
      <c r="K1479" s="21" t="n">
        <f aca="false">G1479*H1479*(1-J1479)</f>
        <v>486</v>
      </c>
      <c r="L1479" s="21" t="n">
        <f aca="false">G1479*I1479</f>
        <v>348</v>
      </c>
      <c r="M1479" s="21" t="n">
        <f aca="false">K1479-L1479</f>
        <v>138</v>
      </c>
      <c r="N1479" s="11" t="str">
        <f aca="false">TEXT(B1479,"mmm")</f>
        <v>Dec</v>
      </c>
    </row>
    <row r="1480" customFormat="false" ht="15" hidden="false" customHeight="false" outlineLevel="0" collapsed="false">
      <c r="A1480" s="11" t="s">
        <v>1541</v>
      </c>
      <c r="B1480" s="20" t="n">
        <v>46016</v>
      </c>
      <c r="C1480" s="11" t="s">
        <v>18</v>
      </c>
      <c r="D1480" s="11" t="s">
        <v>37</v>
      </c>
      <c r="E1480" s="11" t="s">
        <v>49</v>
      </c>
      <c r="F1480" s="11" t="s">
        <v>42</v>
      </c>
      <c r="G1480" s="11" t="n">
        <v>7</v>
      </c>
      <c r="H1480" s="21" t="n">
        <v>28</v>
      </c>
      <c r="I1480" s="21" t="n">
        <v>17</v>
      </c>
      <c r="J1480" s="22" t="n">
        <v>0.1</v>
      </c>
      <c r="K1480" s="21" t="n">
        <f aca="false">G1480*H1480*(1-J1480)</f>
        <v>176.4</v>
      </c>
      <c r="L1480" s="21" t="n">
        <f aca="false">G1480*I1480</f>
        <v>119</v>
      </c>
      <c r="M1480" s="21" t="n">
        <f aca="false">K1480-L1480</f>
        <v>57.4</v>
      </c>
      <c r="N1480" s="11" t="str">
        <f aca="false">TEXT(B1480,"mmm")</f>
        <v>Dec</v>
      </c>
    </row>
    <row r="1481" customFormat="false" ht="15" hidden="false" customHeight="false" outlineLevel="0" collapsed="false">
      <c r="A1481" s="11" t="s">
        <v>1542</v>
      </c>
      <c r="B1481" s="20" t="n">
        <v>46016</v>
      </c>
      <c r="C1481" s="11" t="s">
        <v>18</v>
      </c>
      <c r="D1481" s="11" t="s">
        <v>37</v>
      </c>
      <c r="E1481" s="11" t="s">
        <v>49</v>
      </c>
      <c r="F1481" s="11" t="s">
        <v>44</v>
      </c>
      <c r="G1481" s="11" t="n">
        <v>19</v>
      </c>
      <c r="H1481" s="21" t="n">
        <v>28</v>
      </c>
      <c r="I1481" s="21" t="n">
        <v>17</v>
      </c>
      <c r="J1481" s="22" t="n">
        <v>0</v>
      </c>
      <c r="K1481" s="21" t="n">
        <f aca="false">G1481*H1481*(1-J1481)</f>
        <v>532</v>
      </c>
      <c r="L1481" s="21" t="n">
        <f aca="false">G1481*I1481</f>
        <v>323</v>
      </c>
      <c r="M1481" s="21" t="n">
        <f aca="false">K1481-L1481</f>
        <v>209</v>
      </c>
      <c r="N1481" s="11" t="str">
        <f aca="false">TEXT(B1481,"mmm")</f>
        <v>Dec</v>
      </c>
    </row>
    <row r="1482" customFormat="false" ht="15" hidden="false" customHeight="false" outlineLevel="0" collapsed="false">
      <c r="A1482" s="11" t="s">
        <v>1543</v>
      </c>
      <c r="B1482" s="20" t="n">
        <v>46016</v>
      </c>
      <c r="C1482" s="11" t="s">
        <v>20</v>
      </c>
      <c r="D1482" s="11" t="s">
        <v>37</v>
      </c>
      <c r="E1482" s="11" t="s">
        <v>52</v>
      </c>
      <c r="F1482" s="11" t="s">
        <v>42</v>
      </c>
      <c r="G1482" s="11" t="n">
        <v>19</v>
      </c>
      <c r="H1482" s="21" t="n">
        <v>12</v>
      </c>
      <c r="I1482" s="21" t="n">
        <v>6</v>
      </c>
      <c r="J1482" s="22" t="n">
        <v>0.1</v>
      </c>
      <c r="K1482" s="21" t="n">
        <f aca="false">G1482*H1482*(1-J1482)</f>
        <v>205.2</v>
      </c>
      <c r="L1482" s="21" t="n">
        <f aca="false">G1482*I1482</f>
        <v>114</v>
      </c>
      <c r="M1482" s="21" t="n">
        <f aca="false">K1482-L1482</f>
        <v>91.2</v>
      </c>
      <c r="N1482" s="11" t="str">
        <f aca="false">TEXT(B1482,"mmm")</f>
        <v>Dec</v>
      </c>
    </row>
    <row r="1483" customFormat="false" ht="15" hidden="false" customHeight="false" outlineLevel="0" collapsed="false">
      <c r="A1483" s="11" t="s">
        <v>1544</v>
      </c>
      <c r="B1483" s="20" t="n">
        <v>46016</v>
      </c>
      <c r="C1483" s="11" t="s">
        <v>22</v>
      </c>
      <c r="D1483" s="11" t="s">
        <v>35</v>
      </c>
      <c r="E1483" s="11" t="s">
        <v>55</v>
      </c>
      <c r="F1483" s="11" t="s">
        <v>42</v>
      </c>
      <c r="G1483" s="11" t="n">
        <v>4</v>
      </c>
      <c r="H1483" s="21" t="n">
        <v>150</v>
      </c>
      <c r="I1483" s="21" t="n">
        <v>82</v>
      </c>
      <c r="J1483" s="22" t="n">
        <v>0.1</v>
      </c>
      <c r="K1483" s="21" t="n">
        <f aca="false">G1483*H1483*(1-J1483)</f>
        <v>540</v>
      </c>
      <c r="L1483" s="21" t="n">
        <f aca="false">G1483*I1483</f>
        <v>328</v>
      </c>
      <c r="M1483" s="21" t="n">
        <f aca="false">K1483-L1483</f>
        <v>212</v>
      </c>
      <c r="N1483" s="11" t="str">
        <f aca="false">TEXT(B1483,"mmm")</f>
        <v>Dec</v>
      </c>
    </row>
    <row r="1484" customFormat="false" ht="15" hidden="false" customHeight="false" outlineLevel="0" collapsed="false">
      <c r="A1484" s="11" t="s">
        <v>1545</v>
      </c>
      <c r="B1484" s="20" t="n">
        <v>46016</v>
      </c>
      <c r="C1484" s="11" t="s">
        <v>20</v>
      </c>
      <c r="D1484" s="11" t="s">
        <v>35</v>
      </c>
      <c r="E1484" s="11" t="s">
        <v>55</v>
      </c>
      <c r="F1484" s="11" t="s">
        <v>45</v>
      </c>
      <c r="G1484" s="11" t="n">
        <v>4</v>
      </c>
      <c r="H1484" s="21" t="n">
        <v>150</v>
      </c>
      <c r="I1484" s="21" t="n">
        <v>82</v>
      </c>
      <c r="J1484" s="22" t="n">
        <v>0.2</v>
      </c>
      <c r="K1484" s="21" t="n">
        <f aca="false">G1484*H1484*(1-J1484)</f>
        <v>480</v>
      </c>
      <c r="L1484" s="21" t="n">
        <f aca="false">G1484*I1484</f>
        <v>328</v>
      </c>
      <c r="M1484" s="21" t="n">
        <f aca="false">K1484-L1484</f>
        <v>152</v>
      </c>
      <c r="N1484" s="11" t="str">
        <f aca="false">TEXT(B1484,"mmm")</f>
        <v>Dec</v>
      </c>
    </row>
    <row r="1485" customFormat="false" ht="15" hidden="false" customHeight="false" outlineLevel="0" collapsed="false">
      <c r="A1485" s="11" t="s">
        <v>1546</v>
      </c>
      <c r="B1485" s="20" t="n">
        <v>46017</v>
      </c>
      <c r="C1485" s="11" t="s">
        <v>18</v>
      </c>
      <c r="D1485" s="11" t="s">
        <v>37</v>
      </c>
      <c r="E1485" s="11" t="s">
        <v>49</v>
      </c>
      <c r="F1485" s="11" t="s">
        <v>42</v>
      </c>
      <c r="G1485" s="11" t="n">
        <v>5</v>
      </c>
      <c r="H1485" s="21" t="n">
        <v>28</v>
      </c>
      <c r="I1485" s="21" t="n">
        <v>17</v>
      </c>
      <c r="J1485" s="22" t="n">
        <v>0.05</v>
      </c>
      <c r="K1485" s="21" t="n">
        <f aca="false">G1485*H1485*(1-J1485)</f>
        <v>133</v>
      </c>
      <c r="L1485" s="21" t="n">
        <f aca="false">G1485*I1485</f>
        <v>85</v>
      </c>
      <c r="M1485" s="21" t="n">
        <f aca="false">K1485-L1485</f>
        <v>48</v>
      </c>
      <c r="N1485" s="11" t="str">
        <f aca="false">TEXT(B1485,"mmm")</f>
        <v>Dec</v>
      </c>
    </row>
    <row r="1486" customFormat="false" ht="15" hidden="false" customHeight="false" outlineLevel="0" collapsed="false">
      <c r="A1486" s="11" t="s">
        <v>1547</v>
      </c>
      <c r="B1486" s="20" t="n">
        <v>46017</v>
      </c>
      <c r="C1486" s="11" t="s">
        <v>20</v>
      </c>
      <c r="D1486" s="11" t="s">
        <v>37</v>
      </c>
      <c r="E1486" s="11" t="s">
        <v>52</v>
      </c>
      <c r="F1486" s="11" t="s">
        <v>44</v>
      </c>
      <c r="G1486" s="11" t="n">
        <v>25</v>
      </c>
      <c r="H1486" s="21" t="n">
        <v>12</v>
      </c>
      <c r="I1486" s="21" t="n">
        <v>6</v>
      </c>
      <c r="J1486" s="22" t="n">
        <v>0</v>
      </c>
      <c r="K1486" s="21" t="n">
        <f aca="false">G1486*H1486*(1-J1486)</f>
        <v>300</v>
      </c>
      <c r="L1486" s="21" t="n">
        <f aca="false">G1486*I1486</f>
        <v>150</v>
      </c>
      <c r="M1486" s="21" t="n">
        <f aca="false">K1486-L1486</f>
        <v>150</v>
      </c>
      <c r="N1486" s="11" t="str">
        <f aca="false">TEXT(B1486,"mmm")</f>
        <v>Dec</v>
      </c>
    </row>
    <row r="1487" customFormat="false" ht="15" hidden="false" customHeight="false" outlineLevel="0" collapsed="false">
      <c r="A1487" s="11" t="s">
        <v>1548</v>
      </c>
      <c r="B1487" s="20" t="n">
        <v>46017</v>
      </c>
      <c r="C1487" s="11" t="s">
        <v>18</v>
      </c>
      <c r="D1487" s="11" t="s">
        <v>35</v>
      </c>
      <c r="E1487" s="11" t="s">
        <v>55</v>
      </c>
      <c r="F1487" s="11" t="s">
        <v>42</v>
      </c>
      <c r="G1487" s="11" t="n">
        <v>3</v>
      </c>
      <c r="H1487" s="21" t="n">
        <v>150</v>
      </c>
      <c r="I1487" s="21" t="n">
        <v>82</v>
      </c>
      <c r="J1487" s="22" t="n">
        <v>0.15</v>
      </c>
      <c r="K1487" s="21" t="n">
        <f aca="false">G1487*H1487*(1-J1487)</f>
        <v>382.5</v>
      </c>
      <c r="L1487" s="21" t="n">
        <f aca="false">G1487*I1487</f>
        <v>246</v>
      </c>
      <c r="M1487" s="21" t="n">
        <f aca="false">K1487-L1487</f>
        <v>136.5</v>
      </c>
      <c r="N1487" s="11" t="str">
        <f aca="false">TEXT(B1487,"mmm")</f>
        <v>Dec</v>
      </c>
    </row>
    <row r="1488" customFormat="false" ht="15" hidden="false" customHeight="false" outlineLevel="0" collapsed="false">
      <c r="A1488" s="11" t="s">
        <v>1549</v>
      </c>
      <c r="B1488" s="20" t="n">
        <v>46017</v>
      </c>
      <c r="C1488" s="11" t="s">
        <v>18</v>
      </c>
      <c r="D1488" s="11" t="s">
        <v>37</v>
      </c>
      <c r="E1488" s="11" t="s">
        <v>52</v>
      </c>
      <c r="F1488" s="11" t="s">
        <v>42</v>
      </c>
      <c r="G1488" s="11" t="n">
        <v>39</v>
      </c>
      <c r="H1488" s="21" t="n">
        <v>12</v>
      </c>
      <c r="I1488" s="21" t="n">
        <v>6</v>
      </c>
      <c r="J1488" s="22" t="n">
        <v>0</v>
      </c>
      <c r="K1488" s="21" t="n">
        <f aca="false">G1488*H1488*(1-J1488)</f>
        <v>468</v>
      </c>
      <c r="L1488" s="21" t="n">
        <f aca="false">G1488*I1488</f>
        <v>234</v>
      </c>
      <c r="M1488" s="21" t="n">
        <f aca="false">K1488-L1488</f>
        <v>234</v>
      </c>
      <c r="N1488" s="11" t="str">
        <f aca="false">TEXT(B1488,"mmm")</f>
        <v>Dec</v>
      </c>
    </row>
    <row r="1489" customFormat="false" ht="15" hidden="false" customHeight="false" outlineLevel="0" collapsed="false">
      <c r="A1489" s="11" t="s">
        <v>1550</v>
      </c>
      <c r="B1489" s="20" t="n">
        <v>46018</v>
      </c>
      <c r="C1489" s="11" t="s">
        <v>22</v>
      </c>
      <c r="D1489" s="11" t="s">
        <v>33</v>
      </c>
      <c r="E1489" s="11" t="s">
        <v>51</v>
      </c>
      <c r="F1489" s="11" t="s">
        <v>42</v>
      </c>
      <c r="G1489" s="11" t="n">
        <v>5</v>
      </c>
      <c r="H1489" s="21" t="n">
        <v>90</v>
      </c>
      <c r="I1489" s="21" t="n">
        <v>58</v>
      </c>
      <c r="J1489" s="22" t="n">
        <v>0.15</v>
      </c>
      <c r="K1489" s="21" t="n">
        <f aca="false">G1489*H1489*(1-J1489)</f>
        <v>382.5</v>
      </c>
      <c r="L1489" s="21" t="n">
        <f aca="false">G1489*I1489</f>
        <v>290</v>
      </c>
      <c r="M1489" s="21" t="n">
        <f aca="false">K1489-L1489</f>
        <v>92.5</v>
      </c>
      <c r="N1489" s="11" t="str">
        <f aca="false">TEXT(B1489,"mmm")</f>
        <v>Dec</v>
      </c>
    </row>
    <row r="1490" customFormat="false" ht="15" hidden="false" customHeight="false" outlineLevel="0" collapsed="false">
      <c r="A1490" s="11" t="s">
        <v>1551</v>
      </c>
      <c r="B1490" s="20" t="n">
        <v>46018</v>
      </c>
      <c r="C1490" s="11" t="s">
        <v>22</v>
      </c>
      <c r="D1490" s="11" t="s">
        <v>33</v>
      </c>
      <c r="E1490" s="11" t="s">
        <v>51</v>
      </c>
      <c r="F1490" s="11" t="s">
        <v>42</v>
      </c>
      <c r="G1490" s="11" t="n">
        <v>3</v>
      </c>
      <c r="H1490" s="21" t="n">
        <v>90</v>
      </c>
      <c r="I1490" s="21" t="n">
        <v>58</v>
      </c>
      <c r="J1490" s="22" t="n">
        <v>0.15</v>
      </c>
      <c r="K1490" s="21" t="n">
        <f aca="false">G1490*H1490*(1-J1490)</f>
        <v>229.5</v>
      </c>
      <c r="L1490" s="21" t="n">
        <f aca="false">G1490*I1490</f>
        <v>174</v>
      </c>
      <c r="M1490" s="21" t="n">
        <f aca="false">K1490-L1490</f>
        <v>55.5</v>
      </c>
      <c r="N1490" s="11" t="str">
        <f aca="false">TEXT(B1490,"mmm")</f>
        <v>Dec</v>
      </c>
    </row>
    <row r="1491" customFormat="false" ht="15" hidden="false" customHeight="false" outlineLevel="0" collapsed="false">
      <c r="A1491" s="11" t="s">
        <v>1552</v>
      </c>
      <c r="B1491" s="20" t="n">
        <v>46018</v>
      </c>
      <c r="C1491" s="11" t="s">
        <v>18</v>
      </c>
      <c r="D1491" s="11" t="s">
        <v>37</v>
      </c>
      <c r="E1491" s="11" t="s">
        <v>49</v>
      </c>
      <c r="F1491" s="11" t="s">
        <v>42</v>
      </c>
      <c r="G1491" s="11" t="n">
        <v>19</v>
      </c>
      <c r="H1491" s="21" t="n">
        <v>28</v>
      </c>
      <c r="I1491" s="21" t="n">
        <v>17</v>
      </c>
      <c r="J1491" s="22" t="n">
        <v>0.05</v>
      </c>
      <c r="K1491" s="21" t="n">
        <f aca="false">G1491*H1491*(1-J1491)</f>
        <v>505.4</v>
      </c>
      <c r="L1491" s="21" t="n">
        <f aca="false">G1491*I1491</f>
        <v>323</v>
      </c>
      <c r="M1491" s="21" t="n">
        <f aca="false">K1491-L1491</f>
        <v>182.4</v>
      </c>
      <c r="N1491" s="11" t="str">
        <f aca="false">TEXT(B1491,"mmm")</f>
        <v>Dec</v>
      </c>
    </row>
    <row r="1492" customFormat="false" ht="15" hidden="false" customHeight="false" outlineLevel="0" collapsed="false">
      <c r="A1492" s="11" t="s">
        <v>1553</v>
      </c>
      <c r="B1492" s="20" t="n">
        <v>46018</v>
      </c>
      <c r="C1492" s="11" t="s">
        <v>24</v>
      </c>
      <c r="D1492" s="11" t="s">
        <v>37</v>
      </c>
      <c r="E1492" s="11" t="s">
        <v>53</v>
      </c>
      <c r="F1492" s="11" t="s">
        <v>42</v>
      </c>
      <c r="G1492" s="11" t="n">
        <v>36</v>
      </c>
      <c r="H1492" s="21" t="n">
        <v>9</v>
      </c>
      <c r="I1492" s="21" t="n">
        <v>4.5</v>
      </c>
      <c r="J1492" s="22" t="n">
        <v>0.1</v>
      </c>
      <c r="K1492" s="21" t="n">
        <f aca="false">G1492*H1492*(1-J1492)</f>
        <v>291.6</v>
      </c>
      <c r="L1492" s="21" t="n">
        <f aca="false">G1492*I1492</f>
        <v>162</v>
      </c>
      <c r="M1492" s="21" t="n">
        <f aca="false">K1492-L1492</f>
        <v>129.6</v>
      </c>
      <c r="N1492" s="11" t="str">
        <f aca="false">TEXT(B1492,"mmm")</f>
        <v>Dec</v>
      </c>
    </row>
    <row r="1493" customFormat="false" ht="15" hidden="false" customHeight="false" outlineLevel="0" collapsed="false">
      <c r="A1493" s="11" t="s">
        <v>1554</v>
      </c>
      <c r="B1493" s="20" t="n">
        <v>46018</v>
      </c>
      <c r="C1493" s="11" t="s">
        <v>22</v>
      </c>
      <c r="D1493" s="11" t="s">
        <v>35</v>
      </c>
      <c r="E1493" s="11" t="s">
        <v>55</v>
      </c>
      <c r="F1493" s="11" t="s">
        <v>44</v>
      </c>
      <c r="G1493" s="11" t="n">
        <v>4</v>
      </c>
      <c r="H1493" s="21" t="n">
        <v>150</v>
      </c>
      <c r="I1493" s="21" t="n">
        <v>82</v>
      </c>
      <c r="J1493" s="22" t="n">
        <v>0.1</v>
      </c>
      <c r="K1493" s="21" t="n">
        <f aca="false">G1493*H1493*(1-J1493)</f>
        <v>540</v>
      </c>
      <c r="L1493" s="21" t="n">
        <f aca="false">G1493*I1493</f>
        <v>328</v>
      </c>
      <c r="M1493" s="21" t="n">
        <f aca="false">K1493-L1493</f>
        <v>212</v>
      </c>
      <c r="N1493" s="11" t="str">
        <f aca="false">TEXT(B1493,"mmm")</f>
        <v>Dec</v>
      </c>
    </row>
    <row r="1494" customFormat="false" ht="15" hidden="false" customHeight="false" outlineLevel="0" collapsed="false">
      <c r="A1494" s="11" t="s">
        <v>1555</v>
      </c>
      <c r="B1494" s="20" t="n">
        <v>46018</v>
      </c>
      <c r="C1494" s="11" t="s">
        <v>18</v>
      </c>
      <c r="D1494" s="11" t="s">
        <v>33</v>
      </c>
      <c r="E1494" s="11" t="s">
        <v>48</v>
      </c>
      <c r="F1494" s="11" t="s">
        <v>44</v>
      </c>
      <c r="G1494" s="11" t="n">
        <v>3</v>
      </c>
      <c r="H1494" s="21" t="n">
        <v>520</v>
      </c>
      <c r="I1494" s="21" t="n">
        <v>415</v>
      </c>
      <c r="J1494" s="22" t="n">
        <v>0</v>
      </c>
      <c r="K1494" s="21" t="n">
        <f aca="false">G1494*H1494*(1-J1494)</f>
        <v>1560</v>
      </c>
      <c r="L1494" s="21" t="n">
        <f aca="false">G1494*I1494</f>
        <v>1245</v>
      </c>
      <c r="M1494" s="21" t="n">
        <f aca="false">K1494-L1494</f>
        <v>315</v>
      </c>
      <c r="N1494" s="11" t="str">
        <f aca="false">TEXT(B1494,"mmm")</f>
        <v>Dec</v>
      </c>
    </row>
    <row r="1495" customFormat="false" ht="15" hidden="false" customHeight="false" outlineLevel="0" collapsed="false">
      <c r="A1495" s="11" t="s">
        <v>1556</v>
      </c>
      <c r="B1495" s="20" t="n">
        <v>46018</v>
      </c>
      <c r="C1495" s="11" t="s">
        <v>22</v>
      </c>
      <c r="D1495" s="11" t="s">
        <v>37</v>
      </c>
      <c r="E1495" s="11" t="s">
        <v>53</v>
      </c>
      <c r="F1495" s="11" t="s">
        <v>42</v>
      </c>
      <c r="G1495" s="11" t="n">
        <v>2</v>
      </c>
      <c r="H1495" s="21" t="n">
        <v>9</v>
      </c>
      <c r="I1495" s="21" t="n">
        <v>4.5</v>
      </c>
      <c r="J1495" s="22" t="n">
        <v>0</v>
      </c>
      <c r="K1495" s="21" t="n">
        <f aca="false">G1495*H1495*(1-J1495)</f>
        <v>18</v>
      </c>
      <c r="L1495" s="21" t="n">
        <f aca="false">G1495*I1495</f>
        <v>9</v>
      </c>
      <c r="M1495" s="21" t="n">
        <f aca="false">K1495-L1495</f>
        <v>9</v>
      </c>
      <c r="N1495" s="11" t="str">
        <f aca="false">TEXT(B1495,"mmm")</f>
        <v>Dec</v>
      </c>
    </row>
    <row r="1496" customFormat="false" ht="15" hidden="false" customHeight="false" outlineLevel="0" collapsed="false">
      <c r="A1496" s="11" t="s">
        <v>1557</v>
      </c>
      <c r="B1496" s="20" t="n">
        <v>46019</v>
      </c>
      <c r="C1496" s="11" t="s">
        <v>20</v>
      </c>
      <c r="D1496" s="11" t="s">
        <v>33</v>
      </c>
      <c r="E1496" s="11" t="s">
        <v>51</v>
      </c>
      <c r="F1496" s="11" t="s">
        <v>42</v>
      </c>
      <c r="G1496" s="11" t="n">
        <v>3</v>
      </c>
      <c r="H1496" s="21" t="n">
        <v>90</v>
      </c>
      <c r="I1496" s="21" t="n">
        <v>58</v>
      </c>
      <c r="J1496" s="22" t="n">
        <v>0</v>
      </c>
      <c r="K1496" s="21" t="n">
        <f aca="false">G1496*H1496*(1-J1496)</f>
        <v>270</v>
      </c>
      <c r="L1496" s="21" t="n">
        <f aca="false">G1496*I1496</f>
        <v>174</v>
      </c>
      <c r="M1496" s="21" t="n">
        <f aca="false">K1496-L1496</f>
        <v>96</v>
      </c>
      <c r="N1496" s="11" t="str">
        <f aca="false">TEXT(B1496,"mmm")</f>
        <v>Dec</v>
      </c>
    </row>
    <row r="1497" customFormat="false" ht="15" hidden="false" customHeight="false" outlineLevel="0" collapsed="false">
      <c r="A1497" s="11" t="s">
        <v>1558</v>
      </c>
      <c r="B1497" s="20" t="n">
        <v>46019</v>
      </c>
      <c r="C1497" s="11" t="s">
        <v>20</v>
      </c>
      <c r="D1497" s="11" t="s">
        <v>37</v>
      </c>
      <c r="E1497" s="11" t="s">
        <v>49</v>
      </c>
      <c r="F1497" s="11" t="s">
        <v>42</v>
      </c>
      <c r="G1497" s="11" t="n">
        <v>26</v>
      </c>
      <c r="H1497" s="21" t="n">
        <v>28</v>
      </c>
      <c r="I1497" s="21" t="n">
        <v>17</v>
      </c>
      <c r="J1497" s="22" t="n">
        <v>0.1</v>
      </c>
      <c r="K1497" s="21" t="n">
        <f aca="false">G1497*H1497*(1-J1497)</f>
        <v>655.2</v>
      </c>
      <c r="L1497" s="21" t="n">
        <f aca="false">G1497*I1497</f>
        <v>442</v>
      </c>
      <c r="M1497" s="21" t="n">
        <f aca="false">K1497-L1497</f>
        <v>213.2</v>
      </c>
      <c r="N1497" s="11" t="str">
        <f aca="false">TEXT(B1497,"mmm")</f>
        <v>Dec</v>
      </c>
    </row>
    <row r="1498" customFormat="false" ht="15" hidden="false" customHeight="false" outlineLevel="0" collapsed="false">
      <c r="A1498" s="11" t="s">
        <v>1559</v>
      </c>
      <c r="B1498" s="20" t="n">
        <v>46019</v>
      </c>
      <c r="C1498" s="11" t="s">
        <v>20</v>
      </c>
      <c r="D1498" s="11" t="s">
        <v>35</v>
      </c>
      <c r="E1498" s="11" t="s">
        <v>54</v>
      </c>
      <c r="F1498" s="11" t="s">
        <v>44</v>
      </c>
      <c r="G1498" s="11" t="n">
        <v>3</v>
      </c>
      <c r="H1498" s="21" t="n">
        <v>320</v>
      </c>
      <c r="I1498" s="21" t="n">
        <v>185</v>
      </c>
      <c r="J1498" s="22" t="n">
        <v>0</v>
      </c>
      <c r="K1498" s="21" t="n">
        <f aca="false">G1498*H1498*(1-J1498)</f>
        <v>960</v>
      </c>
      <c r="L1498" s="21" t="n">
        <f aca="false">G1498*I1498</f>
        <v>555</v>
      </c>
      <c r="M1498" s="21" t="n">
        <f aca="false">K1498-L1498</f>
        <v>405</v>
      </c>
      <c r="N1498" s="11" t="str">
        <f aca="false">TEXT(B1498,"mmm")</f>
        <v>Dec</v>
      </c>
    </row>
    <row r="1499" customFormat="false" ht="15" hidden="false" customHeight="false" outlineLevel="0" collapsed="false">
      <c r="A1499" s="11" t="s">
        <v>1560</v>
      </c>
      <c r="B1499" s="20" t="n">
        <v>46019</v>
      </c>
      <c r="C1499" s="11" t="s">
        <v>24</v>
      </c>
      <c r="D1499" s="11" t="s">
        <v>35</v>
      </c>
      <c r="E1499" s="11" t="s">
        <v>55</v>
      </c>
      <c r="F1499" s="11" t="s">
        <v>42</v>
      </c>
      <c r="G1499" s="11" t="n">
        <v>1</v>
      </c>
      <c r="H1499" s="21" t="n">
        <v>150</v>
      </c>
      <c r="I1499" s="21" t="n">
        <v>82</v>
      </c>
      <c r="J1499" s="22" t="n">
        <v>0.05</v>
      </c>
      <c r="K1499" s="21" t="n">
        <f aca="false">G1499*H1499*(1-J1499)</f>
        <v>142.5</v>
      </c>
      <c r="L1499" s="21" t="n">
        <f aca="false">G1499*I1499</f>
        <v>82</v>
      </c>
      <c r="M1499" s="21" t="n">
        <f aca="false">K1499-L1499</f>
        <v>60.5</v>
      </c>
      <c r="N1499" s="11" t="str">
        <f aca="false">TEXT(B1499,"mmm")</f>
        <v>Dec</v>
      </c>
    </row>
    <row r="1500" customFormat="false" ht="15" hidden="false" customHeight="false" outlineLevel="0" collapsed="false">
      <c r="A1500" s="11" t="s">
        <v>1561</v>
      </c>
      <c r="B1500" s="20" t="n">
        <v>46019</v>
      </c>
      <c r="C1500" s="11" t="s">
        <v>18</v>
      </c>
      <c r="D1500" s="11" t="s">
        <v>37</v>
      </c>
      <c r="E1500" s="11" t="s">
        <v>52</v>
      </c>
      <c r="F1500" s="11" t="s">
        <v>44</v>
      </c>
      <c r="G1500" s="11" t="n">
        <v>13</v>
      </c>
      <c r="H1500" s="21" t="n">
        <v>12</v>
      </c>
      <c r="I1500" s="21" t="n">
        <v>6</v>
      </c>
      <c r="J1500" s="22" t="n">
        <v>0.1</v>
      </c>
      <c r="K1500" s="21" t="n">
        <f aca="false">G1500*H1500*(1-J1500)</f>
        <v>140.4</v>
      </c>
      <c r="L1500" s="21" t="n">
        <f aca="false">G1500*I1500</f>
        <v>78</v>
      </c>
      <c r="M1500" s="21" t="n">
        <f aca="false">K1500-L1500</f>
        <v>62.4</v>
      </c>
      <c r="N1500" s="11" t="str">
        <f aca="false">TEXT(B1500,"mmm")</f>
        <v>Dec</v>
      </c>
    </row>
    <row r="1501" customFormat="false" ht="15" hidden="false" customHeight="false" outlineLevel="0" collapsed="false">
      <c r="A1501" s="11" t="s">
        <v>1562</v>
      </c>
      <c r="B1501" s="20" t="n">
        <v>46019</v>
      </c>
      <c r="C1501" s="11" t="s">
        <v>18</v>
      </c>
      <c r="D1501" s="11" t="s">
        <v>37</v>
      </c>
      <c r="E1501" s="11" t="s">
        <v>52</v>
      </c>
      <c r="F1501" s="11" t="s">
        <v>44</v>
      </c>
      <c r="G1501" s="11" t="n">
        <v>23</v>
      </c>
      <c r="H1501" s="21" t="n">
        <v>12</v>
      </c>
      <c r="I1501" s="21" t="n">
        <v>6</v>
      </c>
      <c r="J1501" s="22" t="n">
        <v>0.1</v>
      </c>
      <c r="K1501" s="21" t="n">
        <f aca="false">G1501*H1501*(1-J1501)</f>
        <v>248.4</v>
      </c>
      <c r="L1501" s="21" t="n">
        <f aca="false">G1501*I1501</f>
        <v>138</v>
      </c>
      <c r="M1501" s="21" t="n">
        <f aca="false">K1501-L1501</f>
        <v>110.4</v>
      </c>
      <c r="N1501" s="11" t="str">
        <f aca="false">TEXT(B1501,"mmm")</f>
        <v>Dec</v>
      </c>
    </row>
  </sheetData>
  <autoFilter ref="A1:N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2026-10-14T04:16:33Z</dcterms:created>
  <dc:creator>openpyxl</dc:creator>
  <dc:description/>
  <dc:language>en-US</dc:language>
  <cp:lastModifiedBy/>
  <dcterms:modified xsi:type="dcterms:W3CDTF">2026-10-14T04:16:36Z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